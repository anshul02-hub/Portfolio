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timetecvisionsoft-my.sharepoint.com/personal/anshul_sharma_intimetec_com/Documents/Documents/Finance data dashboard/"/>
    </mc:Choice>
  </mc:AlternateContent>
  <xr:revisionPtr revIDLastSave="37" documentId="13_ncr:1_{9A58AFEA-90E4-44B5-B08D-E7AE237ADD87}" xr6:coauthVersionLast="47" xr6:coauthVersionMax="47" xr10:uidLastSave="{48A751E2-F8A2-4E83-9BE4-F22CF9CB303B}"/>
  <bookViews>
    <workbookView xWindow="-120" yWindow="-120" windowWidth="20730" windowHeight="1104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0" i="6" l="1"/>
  <c r="AF16" i="6"/>
  <c r="AF12" i="6"/>
  <c r="AF7" i="6"/>
  <c r="AF2" i="6" a="1"/>
  <c r="AF2" i="6" s="1"/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 l="1"/>
</calcChain>
</file>

<file path=xl/sharedStrings.xml><?xml version="1.0" encoding="utf-8"?>
<sst xmlns="http://schemas.openxmlformats.org/spreadsheetml/2006/main" count="3535" uniqueCount="51">
  <si>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</si>
  <si>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</si>
  <si>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</si>
  <si>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</si>
  <si>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</si>
  <si>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</si>
  <si>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</si>
  <si>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</si>
  <si>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</si>
  <si>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</si>
  <si>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</si>
  <si>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</si>
  <si>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</si>
  <si>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</si>
  <si>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</si>
  <si>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</si>
  <si>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</si>
  <si>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</si>
  <si>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</si>
  <si>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</si>
  <si>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</si>
  <si>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</si>
  <si>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</si>
  <si>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</si>
  <si>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</si>
  <si>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</si>
  <si>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</si>
  <si>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</si>
  <si>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</si>
  <si>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</si>
  <si>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</si>
  <si>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</si>
  <si>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</si>
  <si>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</si>
  <si>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</si>
  <si>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</si>
  <si>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</si>
  <si>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</si>
  <si>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</si>
  <si>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</si>
  <si>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</si>
  <si>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</si>
  <si>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</si>
  <si>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</si>
  <si>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</si>
  <si>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</si>
  <si>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</si>
  <si>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</si>
  <si>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Total Sales</t>
  </si>
  <si>
    <t>Weekending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</si>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</sst>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m/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5" fontId="0" fillId="0" borderId="0" xfId="0" applyNumberFormat="1"/>
    <xf numFmtId="0" fontId="0" fillId="0" borderId="0" xfId="0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2" fillId="0" borderId="0" xfId="1" applyNumberFormat="1" applyFont="1"/>
    <xf numFmtId="166" fontId="0" fillId="0" borderId="0" xfId="1" applyNumberFormat="1" applyFont="1"/>
    <xf numFmtId="49" fontId="0" fillId="0" borderId="0" xfId="1" applyNumberFormat="1" applyFont="1"/>
    <xf numFmtId="14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2" totalsRowCount="1" headerRowDxfId="28" dataDxfId="27" headerRowCellStyle="Currency" dataCellStyle="Currency">
  <autoFilter ref="A1:Q701" xr:uid="{00000000-000C-0000-FFFF-FFFF00000000}"/>
  <tableColumns count="17">
    <tableColumn id="1" xr3:uid="{00000000-0010-0000-0000-000001000000}" name="Segment" totalsRowLabel="Total"/>
    <tableColumn id="2" xr3:uid="{00000000-0010-0000-0000-000002000000}" name="Country"/>
    <tableColumn id="16" xr3:uid="{00000000-0010-0000-0000-000010000000}" name="Product" dataDxfId="26" totalsRowDxfId="12" dataCellStyle="Currency" totalsRowCellStyle="Currency"/>
    <tableColumn id="19" xr3:uid="{00000000-0010-0000-0000-000013000000}" name="Discount Band" dataDxfId="25" totalsRowDxfId="11" dataCellStyle="Currency" totalsRowCellStyle="Currency"/>
    <tableColumn id="6" xr3:uid="{00000000-0010-0000-0000-000006000000}" name="Units Sold" totalsRowDxfId="10" totalsRowCellStyle="Currency"/>
    <tableColumn id="7" xr3:uid="{00000000-0010-0000-0000-000007000000}" name="Manufacturing Price" dataDxfId="24" totalsRowDxfId="9" dataCellStyle="Currency" totalsRowCellStyle="Currency"/>
    <tableColumn id="8" xr3:uid="{00000000-0010-0000-0000-000008000000}" name="Sale Price" dataDxfId="23" totalsRowDxfId="8" dataCellStyle="Currency" totalsRowCellStyle="Currency"/>
    <tableColumn id="9" xr3:uid="{00000000-0010-0000-0000-000009000000}" name="Gross Sales" dataDxfId="22" totalsRowDxfId="7" dataCellStyle="Currency" totalsRowCellStyle="Currency"/>
    <tableColumn id="10" xr3:uid="{00000000-0010-0000-0000-00000A000000}" name="Discounts" dataDxfId="21" totalsRowDxfId="6" dataCellStyle="Currency" totalsRowCellStyle="Currency"/>
    <tableColumn id="11" xr3:uid="{00000000-0010-0000-0000-00000B000000}" name=" Sales" dataDxfId="20" dataCellStyle="Currency"/>
    <tableColumn id="12" xr3:uid="{00000000-0010-0000-0000-00000C000000}" name="COGS" dataDxfId="19" totalsRowDxfId="5" dataCellStyle="Currency" totalsRowCellStyle="Currency"/>
    <tableColumn id="13" xr3:uid="{00000000-0010-0000-0000-00000D000000}" name="Profit" dataDxfId="18" totalsRowDxfId="4" dataCellStyle="Currency" totalsRowCellStyle="Currency"/>
    <tableColumn id="4" xr3:uid="{00000000-0010-0000-0000-000004000000}" name="Date" dataDxfId="17" totalsRowDxfId="3" dataCellStyle="Currency" totalsRowCellStyle="Currency"/>
    <tableColumn id="17" xr3:uid="{00000000-0010-0000-0000-000011000000}" name="Month Number" dataDxfId="16" totalsRowDxfId="2" dataCellStyle="Currency" totalsRowCellStyle="Currency"/>
    <tableColumn id="18" xr3:uid="{00000000-0010-0000-0000-000012000000}" name="Month Name" dataDxfId="15" dataCellStyle="Currency"/>
    <tableColumn id="20" xr3:uid="{00000000-0010-0000-0000-000014000000}" name="Year" dataDxfId="14" totalsRowDxfId="1" dataCellStyle="Currency" totalsRowCellStyle="Currency"/>
    <tableColumn id="3" xr3:uid="{C8308562-17F2-45A2-BF83-E4C715F5586A}" name="Weekending" totalsRowFunction="count" dataDxfId="13" totalsRowDxfId="0" dataCellStyle="Currency" totalsRowCellStyle="Currency">
      <calculatedColumnFormula>(5-WEEKDAY(financials[[#This Row],[Date]],2)+financials[[#This Row],[Date]])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2"/>
  <sheetViews>
    <sheetView tabSelected="1" zoomScale="85" zoomScaleNormal="85" workbookViewId="0"/>
  </sheetViews>
  <sheetFormatPr defaultRowHeight="15" x14ac:dyDescent="0.25"/>
  <cols>
    <col min="1" max="1" width="17" bestFit="1" customWidth="1"/>
    <col min="2" max="2" width="24.28515625" bestFit="1" customWidth="1"/>
    <col min="3" max="3" width="10.85546875" style="3" bestFit="1" customWidth="1"/>
    <col min="4" max="4" width="10" bestFit="1" customWidth="1"/>
    <col min="5" max="5" width="7.140625" style="1" bestFit="1" customWidth="1"/>
    <col min="6" max="7" width="9" style="1" bestFit="1" customWidth="1"/>
    <col min="8" max="8" width="14.28515625" style="1" bestFit="1" customWidth="1"/>
    <col min="9" max="9" width="13.28515625" style="1" bestFit="1" customWidth="1"/>
    <col min="10" max="10" width="14.28515625" style="1" bestFit="1" customWidth="1"/>
    <col min="11" max="12" width="13.28515625" bestFit="1" customWidth="1"/>
    <col min="13" max="13" width="10.5703125" style="4" bestFit="1" customWidth="1"/>
    <col min="14" max="14" width="3.140625" style="9" bestFit="1" customWidth="1"/>
    <col min="15" max="15" width="12.42578125" bestFit="1" customWidth="1"/>
    <col min="16" max="16" width="5.140625" style="2" bestFit="1" customWidth="1"/>
    <col min="17" max="17" width="14" bestFit="1" customWidth="1"/>
    <col min="18" max="18" width="14" customWidth="1"/>
    <col min="19" max="19" width="12.28515625" bestFit="1" customWidth="1"/>
    <col min="33" max="33" width="14" customWidth="1"/>
    <col min="34" max="34" width="9.5703125" bestFit="1" customWidth="1"/>
    <col min="36" max="36" width="9.5703125" bestFit="1" customWidth="1"/>
  </cols>
  <sheetData>
    <row r="1" spans="1:32" x14ac:dyDescent="0.25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  <c r="Q1" s="12" t="s">
        <v>49</v>
      </c>
      <c r="AD1" t="s">
        <v>35</v>
      </c>
      <c r="AE1" t="s">
        <v>12</v>
      </c>
      <c r="AF1" t="s">
        <v>31</v>
      </c>
    </row>
    <row r="2" spans="1:32" x14ac:dyDescent="0.25">
      <c r="A2" t="s">
        <v>10</v>
      </c>
      <c r="B2" t="s">
        <v>14</v>
      </c>
      <c r="C2" s="5" t="s">
        <v>36</v>
      </c>
      <c r="D2" s="5" t="s">
        <v>43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19</v>
      </c>
      <c r="P2" s="13">
        <v>2014</v>
      </c>
      <c r="Q2" s="12">
        <f>(5-WEEKDAY(financials[[#This Row],[Date]],2)+financials[[#This Row],[Date]])</f>
        <v>41642</v>
      </c>
      <c r="AD2" t="s">
        <v>38</v>
      </c>
      <c r="AE2" s="10">
        <v>41791</v>
      </c>
      <c r="AF2">
        <f t="array" ref="AF2">INDEX(financials[#All],MATCH(1,(financials[[#All],[Product]]=AD2)*(financials[[#All],[Date]]=AE2),0),MATCH(AF1,financials[#Headers],0))</f>
        <v>22662</v>
      </c>
    </row>
    <row r="3" spans="1:32" x14ac:dyDescent="0.25">
      <c r="A3" t="s">
        <v>10</v>
      </c>
      <c r="B3" t="s">
        <v>17</v>
      </c>
      <c r="C3" s="5" t="s">
        <v>36</v>
      </c>
      <c r="D3" s="5" t="s">
        <v>43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19</v>
      </c>
      <c r="P3" s="13">
        <v>2014</v>
      </c>
      <c r="Q3" s="12">
        <f>(5-WEEKDAY(financials[[#This Row],[Date]],2)+financials[[#This Row],[Date]])</f>
        <v>41642</v>
      </c>
    </row>
    <row r="4" spans="1:32" x14ac:dyDescent="0.25">
      <c r="A4" t="s">
        <v>8</v>
      </c>
      <c r="B4" t="s">
        <v>16</v>
      </c>
      <c r="C4" s="5" t="s">
        <v>36</v>
      </c>
      <c r="D4" s="5" t="s">
        <v>43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24</v>
      </c>
      <c r="P4" s="13">
        <v>2014</v>
      </c>
      <c r="Q4" s="12">
        <f>(5-WEEKDAY(financials[[#This Row],[Date]],2)+financials[[#This Row],[Date]])</f>
        <v>41789</v>
      </c>
    </row>
    <row r="5" spans="1:32" x14ac:dyDescent="0.25">
      <c r="A5" t="s">
        <v>8</v>
      </c>
      <c r="B5" t="s">
        <v>17</v>
      </c>
      <c r="C5" s="5" t="s">
        <v>36</v>
      </c>
      <c r="D5" s="5" t="s">
        <v>43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24</v>
      </c>
      <c r="P5" s="13">
        <v>2014</v>
      </c>
      <c r="Q5" s="12">
        <f>(5-WEEKDAY(financials[[#This Row],[Date]],2)+financials[[#This Row],[Date]])</f>
        <v>41789</v>
      </c>
    </row>
    <row r="6" spans="1:32" x14ac:dyDescent="0.25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24</v>
      </c>
      <c r="P6" s="13">
        <v>2014</v>
      </c>
      <c r="Q6" s="12">
        <f>(5-WEEKDAY(financials[[#This Row],[Date]],2)+financials[[#This Row],[Date]])</f>
        <v>41789</v>
      </c>
      <c r="AD6" t="s">
        <v>35</v>
      </c>
      <c r="AE6" t="s">
        <v>12</v>
      </c>
      <c r="AF6" t="s">
        <v>31</v>
      </c>
    </row>
    <row r="7" spans="1:32" x14ac:dyDescent="0.25">
      <c r="A7" t="s">
        <v>10</v>
      </c>
      <c r="B7" t="s">
        <v>17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30</v>
      </c>
      <c r="P7" s="13">
        <v>2014</v>
      </c>
      <c r="Q7" s="12">
        <f>(5-WEEKDAY(financials[[#This Row],[Date]],2)+financials[[#This Row],[Date]])</f>
        <v>41978</v>
      </c>
      <c r="AD7" t="s">
        <v>38</v>
      </c>
      <c r="AE7" s="10">
        <v>41791</v>
      </c>
      <c r="AF7" t="e">
        <f>SUMIFS(Y:Y,#REF!,AD7,Z:Z,AE7)</f>
        <v>#REF!</v>
      </c>
    </row>
    <row r="8" spans="1:32" x14ac:dyDescent="0.25">
      <c r="A8" t="s">
        <v>8</v>
      </c>
      <c r="B8" t="s">
        <v>17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21</v>
      </c>
      <c r="P8" s="13">
        <v>2014</v>
      </c>
      <c r="Q8" s="12">
        <f>(5-WEEKDAY(financials[[#This Row],[Date]],2)+financials[[#This Row],[Date]])</f>
        <v>41698</v>
      </c>
    </row>
    <row r="9" spans="1:32" x14ac:dyDescent="0.25">
      <c r="A9" t="s">
        <v>11</v>
      </c>
      <c r="B9" t="s">
        <v>14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24</v>
      </c>
      <c r="P9" s="13">
        <v>2014</v>
      </c>
      <c r="Q9" s="12">
        <f>(5-WEEKDAY(financials[[#This Row],[Date]],2)+financials[[#This Row],[Date]])</f>
        <v>41789</v>
      </c>
    </row>
    <row r="10" spans="1:32" x14ac:dyDescent="0.25">
      <c r="A10" t="s">
        <v>10</v>
      </c>
      <c r="B10" t="s">
        <v>16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24</v>
      </c>
      <c r="P10" s="13">
        <v>2014</v>
      </c>
      <c r="Q10" s="12">
        <f>(5-WEEKDAY(financials[[#This Row],[Date]],2)+financials[[#This Row],[Date]])</f>
        <v>41789</v>
      </c>
    </row>
    <row r="11" spans="1:32" x14ac:dyDescent="0.25">
      <c r="A11" t="s">
        <v>11</v>
      </c>
      <c r="B11" t="s">
        <v>17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24</v>
      </c>
      <c r="P11" s="13">
        <v>2014</v>
      </c>
      <c r="Q11" s="12">
        <f>(5-WEEKDAY(financials[[#This Row],[Date]],2)+financials[[#This Row],[Date]])</f>
        <v>41789</v>
      </c>
      <c r="AD11" t="s">
        <v>35</v>
      </c>
      <c r="AE11" t="s">
        <v>12</v>
      </c>
      <c r="AF11" t="s">
        <v>31</v>
      </c>
    </row>
    <row r="12" spans="1:32" x14ac:dyDescent="0.25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24</v>
      </c>
      <c r="P12" s="13">
        <v>2014</v>
      </c>
      <c r="Q12" s="12">
        <f>(5-WEEKDAY(financials[[#This Row],[Date]],2)+financials[[#This Row],[Date]])</f>
        <v>41789</v>
      </c>
      <c r="AD12" t="s">
        <v>38</v>
      </c>
      <c r="AE12" s="10">
        <v>41791</v>
      </c>
      <c r="AF12">
        <f>_xlfn.XLOOKUP(AD12,financials[Product],financials[Profit],"-")</f>
        <v>2920</v>
      </c>
    </row>
    <row r="13" spans="1:32" x14ac:dyDescent="0.25">
      <c r="A13" t="s">
        <v>9</v>
      </c>
      <c r="B13" t="s">
        <v>14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25</v>
      </c>
      <c r="P13" s="13">
        <v>2014</v>
      </c>
      <c r="Q13" s="12">
        <f>(5-WEEKDAY(financials[[#This Row],[Date]],2)+financials[[#This Row],[Date]])</f>
        <v>41824</v>
      </c>
    </row>
    <row r="14" spans="1:32" x14ac:dyDescent="0.25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26</v>
      </c>
      <c r="P14" s="13">
        <v>2014</v>
      </c>
      <c r="Q14" s="12">
        <f>(5-WEEKDAY(financials[[#This Row],[Date]],2)+financials[[#This Row],[Date]])</f>
        <v>41852</v>
      </c>
    </row>
    <row r="15" spans="1:32" x14ac:dyDescent="0.25">
      <c r="A15" t="s">
        <v>10</v>
      </c>
      <c r="B15" t="s">
        <v>17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27</v>
      </c>
      <c r="P15" s="13">
        <v>2014</v>
      </c>
      <c r="Q15" s="12">
        <f>(5-WEEKDAY(financials[[#This Row],[Date]],2)+financials[[#This Row],[Date]])</f>
        <v>41887</v>
      </c>
      <c r="AF15" t="s">
        <v>48</v>
      </c>
    </row>
    <row r="16" spans="1:32" x14ac:dyDescent="0.25">
      <c r="A16" t="s">
        <v>9</v>
      </c>
      <c r="B16" t="s">
        <v>14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28</v>
      </c>
      <c r="P16" s="13">
        <v>2013</v>
      </c>
      <c r="Q16" s="12">
        <f>(5-WEEKDAY(financials[[#This Row],[Date]],2)+financials[[#This Row],[Date]])</f>
        <v>41551</v>
      </c>
      <c r="AE16" s="10"/>
      <c r="AF16" s="11" t="e">
        <f>SUMPRODUCT(#REF!,T:T)</f>
        <v>#REF!</v>
      </c>
    </row>
    <row r="17" spans="1:32" x14ac:dyDescent="0.25">
      <c r="A17" t="s">
        <v>8</v>
      </c>
      <c r="B17" t="s">
        <v>15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30</v>
      </c>
      <c r="P17" s="13">
        <v>2014</v>
      </c>
      <c r="Q17" s="12">
        <f>(5-WEEKDAY(financials[[#This Row],[Date]],2)+financials[[#This Row],[Date]])</f>
        <v>41978</v>
      </c>
    </row>
    <row r="18" spans="1:32" x14ac:dyDescent="0.25">
      <c r="A18" t="s">
        <v>10</v>
      </c>
      <c r="B18" t="s">
        <v>14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20</v>
      </c>
      <c r="P18" s="13">
        <v>2014</v>
      </c>
      <c r="Q18" s="12">
        <f>(5-WEEKDAY(financials[[#This Row],[Date]],2)+financials[[#This Row],[Date]])</f>
        <v>41670</v>
      </c>
    </row>
    <row r="19" spans="1:32" x14ac:dyDescent="0.25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20</v>
      </c>
      <c r="P19" s="13">
        <v>2014</v>
      </c>
      <c r="Q19" s="12">
        <f>(5-WEEKDAY(financials[[#This Row],[Date]],2)+financials[[#This Row],[Date]])</f>
        <v>41670</v>
      </c>
      <c r="AD19" t="s">
        <v>35</v>
      </c>
      <c r="AE19" t="s">
        <v>12</v>
      </c>
      <c r="AF19" t="s">
        <v>31</v>
      </c>
    </row>
    <row r="20" spans="1:32" x14ac:dyDescent="0.25">
      <c r="A20" t="s">
        <v>11</v>
      </c>
      <c r="B20" t="s">
        <v>14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24</v>
      </c>
      <c r="P20" s="13">
        <v>2014</v>
      </c>
      <c r="Q20" s="12">
        <f>(5-WEEKDAY(financials[[#This Row],[Date]],2)+financials[[#This Row],[Date]])</f>
        <v>41789</v>
      </c>
      <c r="AD20" t="s">
        <v>38</v>
      </c>
      <c r="AE20" s="10">
        <v>41791</v>
      </c>
      <c r="AF20">
        <f>IFERROR(VLOOKUP(AD20,financials[[Product]:[Profit]],10,0),"-")</f>
        <v>2920</v>
      </c>
    </row>
    <row r="21" spans="1:32" x14ac:dyDescent="0.25">
      <c r="A21" t="s">
        <v>10</v>
      </c>
      <c r="B21" t="s">
        <v>17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24</v>
      </c>
      <c r="P21" s="13">
        <v>2014</v>
      </c>
      <c r="Q21" s="12">
        <f>(5-WEEKDAY(financials[[#This Row],[Date]],2)+financials[[#This Row],[Date]])</f>
        <v>41789</v>
      </c>
    </row>
    <row r="22" spans="1:32" x14ac:dyDescent="0.25">
      <c r="A22" t="s">
        <v>11</v>
      </c>
      <c r="B22" t="s">
        <v>17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25</v>
      </c>
      <c r="P22" s="13">
        <v>2014</v>
      </c>
      <c r="Q22" s="12">
        <f>(5-WEEKDAY(financials[[#This Row],[Date]],2)+financials[[#This Row],[Date]])</f>
        <v>41824</v>
      </c>
    </row>
    <row r="23" spans="1:32" x14ac:dyDescent="0.25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26</v>
      </c>
      <c r="P23" s="13">
        <v>2014</v>
      </c>
      <c r="Q23" s="12">
        <f>(5-WEEKDAY(financials[[#This Row],[Date]],2)+financials[[#This Row],[Date]])</f>
        <v>41852</v>
      </c>
    </row>
    <row r="24" spans="1:32" x14ac:dyDescent="0.25">
      <c r="A24" t="s">
        <v>8</v>
      </c>
      <c r="B24" t="s">
        <v>16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27</v>
      </c>
      <c r="P24" s="13">
        <v>2013</v>
      </c>
      <c r="Q24" s="12">
        <f>(5-WEEKDAY(financials[[#This Row],[Date]],2)+financials[[#This Row],[Date]])</f>
        <v>41516</v>
      </c>
    </row>
    <row r="25" spans="1:32" x14ac:dyDescent="0.25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27</v>
      </c>
      <c r="P25" s="13">
        <v>2013</v>
      </c>
      <c r="Q25" s="12">
        <f>(5-WEEKDAY(financials[[#This Row],[Date]],2)+financials[[#This Row],[Date]])</f>
        <v>41516</v>
      </c>
    </row>
    <row r="26" spans="1:32" x14ac:dyDescent="0.25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27</v>
      </c>
      <c r="P26" s="13">
        <v>2014</v>
      </c>
      <c r="Q26" s="12">
        <f>(5-WEEKDAY(financials[[#This Row],[Date]],2)+financials[[#This Row],[Date]])</f>
        <v>41887</v>
      </c>
    </row>
    <row r="27" spans="1:32" x14ac:dyDescent="0.25">
      <c r="A27" t="s">
        <v>10</v>
      </c>
      <c r="B27" t="s">
        <v>15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28</v>
      </c>
      <c r="P27" s="13">
        <v>2014</v>
      </c>
      <c r="Q27" s="12">
        <f>(5-WEEKDAY(financials[[#This Row],[Date]],2)+financials[[#This Row],[Date]])</f>
        <v>41915</v>
      </c>
    </row>
    <row r="28" spans="1:32" x14ac:dyDescent="0.25">
      <c r="A28" t="s">
        <v>10</v>
      </c>
      <c r="B28" t="s">
        <v>14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29</v>
      </c>
      <c r="P28" s="13">
        <v>2013</v>
      </c>
      <c r="Q28" s="12">
        <f>(5-WEEKDAY(financials[[#This Row],[Date]],2)+financials[[#This Row],[Date]])</f>
        <v>41579</v>
      </c>
    </row>
    <row r="29" spans="1:32" x14ac:dyDescent="0.25">
      <c r="A29" t="s">
        <v>11</v>
      </c>
      <c r="B29" t="s">
        <v>15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29</v>
      </c>
      <c r="P29" s="13">
        <v>2013</v>
      </c>
      <c r="Q29" s="12">
        <f>(5-WEEKDAY(financials[[#This Row],[Date]],2)+financials[[#This Row],[Date]])</f>
        <v>41579</v>
      </c>
    </row>
    <row r="30" spans="1:32" x14ac:dyDescent="0.25">
      <c r="A30" t="s">
        <v>8</v>
      </c>
      <c r="B30" t="s">
        <v>14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30</v>
      </c>
      <c r="P30" s="13">
        <v>2013</v>
      </c>
      <c r="Q30" s="12">
        <f>(5-WEEKDAY(financials[[#This Row],[Date]],2)+financials[[#This Row],[Date]])</f>
        <v>41607</v>
      </c>
    </row>
    <row r="31" spans="1:32" x14ac:dyDescent="0.25">
      <c r="A31" t="s">
        <v>10</v>
      </c>
      <c r="B31" t="s">
        <v>14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30</v>
      </c>
      <c r="P31" s="13">
        <v>2014</v>
      </c>
      <c r="Q31" s="12">
        <f>(5-WEEKDAY(financials[[#This Row],[Date]],2)+financials[[#This Row],[Date]])</f>
        <v>41978</v>
      </c>
    </row>
    <row r="32" spans="1:32" x14ac:dyDescent="0.25">
      <c r="A32" t="s">
        <v>10</v>
      </c>
      <c r="B32" t="s">
        <v>17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30</v>
      </c>
      <c r="P32" s="13">
        <v>2014</v>
      </c>
      <c r="Q32" s="12">
        <f>(5-WEEKDAY(financials[[#This Row],[Date]],2)+financials[[#This Row],[Date]])</f>
        <v>41978</v>
      </c>
    </row>
    <row r="33" spans="1:17" x14ac:dyDescent="0.25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19</v>
      </c>
      <c r="P33" s="13">
        <v>2014</v>
      </c>
      <c r="Q33" s="12">
        <f>(5-WEEKDAY(financials[[#This Row],[Date]],2)+financials[[#This Row],[Date]])</f>
        <v>41642</v>
      </c>
    </row>
    <row r="34" spans="1:17" x14ac:dyDescent="0.25">
      <c r="A34" t="s">
        <v>9</v>
      </c>
      <c r="B34" t="s">
        <v>16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20</v>
      </c>
      <c r="P34" s="13">
        <v>2014</v>
      </c>
      <c r="Q34" s="12">
        <f>(5-WEEKDAY(financials[[#This Row],[Date]],2)+financials[[#This Row],[Date]])</f>
        <v>41670</v>
      </c>
    </row>
    <row r="35" spans="1:17" x14ac:dyDescent="0.25">
      <c r="A35" t="s">
        <v>11</v>
      </c>
      <c r="B35" t="s">
        <v>17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21</v>
      </c>
      <c r="P35" s="13">
        <v>2014</v>
      </c>
      <c r="Q35" s="12">
        <f>(5-WEEKDAY(financials[[#This Row],[Date]],2)+financials[[#This Row],[Date]])</f>
        <v>41698</v>
      </c>
    </row>
    <row r="36" spans="1:17" x14ac:dyDescent="0.25">
      <c r="A36" t="s">
        <v>10</v>
      </c>
      <c r="B36" t="s">
        <v>17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24</v>
      </c>
      <c r="P36" s="13">
        <v>2014</v>
      </c>
      <c r="Q36" s="12">
        <f>(5-WEEKDAY(financials[[#This Row],[Date]],2)+financials[[#This Row],[Date]])</f>
        <v>41789</v>
      </c>
    </row>
    <row r="37" spans="1:17" x14ac:dyDescent="0.25">
      <c r="A37" t="s">
        <v>11</v>
      </c>
      <c r="B37" t="s">
        <v>17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24</v>
      </c>
      <c r="P37" s="13">
        <v>2014</v>
      </c>
      <c r="Q37" s="12">
        <f>(5-WEEKDAY(financials[[#This Row],[Date]],2)+financials[[#This Row],[Date]])</f>
        <v>41789</v>
      </c>
    </row>
    <row r="38" spans="1:17" x14ac:dyDescent="0.25">
      <c r="A38" t="s">
        <v>9</v>
      </c>
      <c r="B38" t="s">
        <v>15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26</v>
      </c>
      <c r="P38" s="13">
        <v>2014</v>
      </c>
      <c r="Q38" s="12">
        <f>(5-WEEKDAY(financials[[#This Row],[Date]],2)+financials[[#This Row],[Date]])</f>
        <v>41852</v>
      </c>
    </row>
    <row r="39" spans="1:17" x14ac:dyDescent="0.25">
      <c r="A39" t="s">
        <v>9</v>
      </c>
      <c r="B39" t="s">
        <v>14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28</v>
      </c>
      <c r="P39" s="13">
        <v>2013</v>
      </c>
      <c r="Q39" s="12">
        <f>(5-WEEKDAY(financials[[#This Row],[Date]],2)+financials[[#This Row],[Date]])</f>
        <v>41551</v>
      </c>
    </row>
    <row r="40" spans="1:17" x14ac:dyDescent="0.25">
      <c r="A40" t="s">
        <v>7</v>
      </c>
      <c r="B40" t="s">
        <v>14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20</v>
      </c>
      <c r="P40" s="13">
        <v>2014</v>
      </c>
      <c r="Q40" s="12">
        <f>(5-WEEKDAY(financials[[#This Row],[Date]],2)+financials[[#This Row],[Date]])</f>
        <v>41670</v>
      </c>
    </row>
    <row r="41" spans="1:17" x14ac:dyDescent="0.25">
      <c r="A41" t="s">
        <v>11</v>
      </c>
      <c r="B41" t="s">
        <v>17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22</v>
      </c>
      <c r="P41" s="13">
        <v>2014</v>
      </c>
      <c r="Q41" s="12">
        <f>(5-WEEKDAY(financials[[#This Row],[Date]],2)+financials[[#This Row],[Date]])</f>
        <v>41733</v>
      </c>
    </row>
    <row r="42" spans="1:17" x14ac:dyDescent="0.25">
      <c r="A42" t="s">
        <v>8</v>
      </c>
      <c r="B42" t="s">
        <v>16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24</v>
      </c>
      <c r="P42" s="13">
        <v>2014</v>
      </c>
      <c r="Q42" s="12">
        <f>(5-WEEKDAY(financials[[#This Row],[Date]],2)+financials[[#This Row],[Date]])</f>
        <v>41789</v>
      </c>
    </row>
    <row r="43" spans="1:17" x14ac:dyDescent="0.25">
      <c r="A43" t="s">
        <v>8</v>
      </c>
      <c r="B43" t="s">
        <v>17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24</v>
      </c>
      <c r="P43" s="13">
        <v>2014</v>
      </c>
      <c r="Q43" s="12">
        <f>(5-WEEKDAY(financials[[#This Row],[Date]],2)+financials[[#This Row],[Date]])</f>
        <v>41789</v>
      </c>
    </row>
    <row r="44" spans="1:17" x14ac:dyDescent="0.25">
      <c r="A44" t="s">
        <v>10</v>
      </c>
      <c r="B44" t="s">
        <v>16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27</v>
      </c>
      <c r="P44" s="13">
        <v>2013</v>
      </c>
      <c r="Q44" s="12">
        <f>(5-WEEKDAY(financials[[#This Row],[Date]],2)+financials[[#This Row],[Date]])</f>
        <v>41516</v>
      </c>
    </row>
    <row r="45" spans="1:17" x14ac:dyDescent="0.25">
      <c r="A45" t="s">
        <v>7</v>
      </c>
      <c r="B45" t="s">
        <v>16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27</v>
      </c>
      <c r="P45" s="13">
        <v>2014</v>
      </c>
      <c r="Q45" s="12">
        <f>(5-WEEKDAY(financials[[#This Row],[Date]],2)+financials[[#This Row],[Date]])</f>
        <v>41887</v>
      </c>
    </row>
    <row r="46" spans="1:17" x14ac:dyDescent="0.25">
      <c r="A46" t="s">
        <v>10</v>
      </c>
      <c r="B46" t="s">
        <v>14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30</v>
      </c>
      <c r="P46" s="13">
        <v>2014</v>
      </c>
      <c r="Q46" s="12">
        <f>(5-WEEKDAY(financials[[#This Row],[Date]],2)+financials[[#This Row],[Date]])</f>
        <v>41978</v>
      </c>
    </row>
    <row r="47" spans="1:17" x14ac:dyDescent="0.25">
      <c r="A47" t="s">
        <v>10</v>
      </c>
      <c r="B47" t="s">
        <v>16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20</v>
      </c>
      <c r="P47" s="13">
        <v>2014</v>
      </c>
      <c r="Q47" s="12">
        <f>(5-WEEKDAY(financials[[#This Row],[Date]],2)+financials[[#This Row],[Date]])</f>
        <v>41670</v>
      </c>
    </row>
    <row r="48" spans="1:17" x14ac:dyDescent="0.25">
      <c r="A48" t="s">
        <v>11</v>
      </c>
      <c r="B48" t="s">
        <v>15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22</v>
      </c>
      <c r="P48" s="13">
        <v>2014</v>
      </c>
      <c r="Q48" s="12">
        <f>(5-WEEKDAY(financials[[#This Row],[Date]],2)+financials[[#This Row],[Date]])</f>
        <v>41733</v>
      </c>
    </row>
    <row r="49" spans="1:17" x14ac:dyDescent="0.25">
      <c r="A49" t="s">
        <v>9</v>
      </c>
      <c r="B49" t="s">
        <v>17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22</v>
      </c>
      <c r="P49" s="13">
        <v>2014</v>
      </c>
      <c r="Q49" s="12">
        <f>(5-WEEKDAY(financials[[#This Row],[Date]],2)+financials[[#This Row],[Date]])</f>
        <v>41733</v>
      </c>
    </row>
    <row r="50" spans="1:17" x14ac:dyDescent="0.25">
      <c r="A50" t="s">
        <v>10</v>
      </c>
      <c r="B50" t="s">
        <v>16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24</v>
      </c>
      <c r="P50" s="13">
        <v>2014</v>
      </c>
      <c r="Q50" s="12">
        <f>(5-WEEKDAY(financials[[#This Row],[Date]],2)+financials[[#This Row],[Date]])</f>
        <v>41789</v>
      </c>
    </row>
    <row r="51" spans="1:17" x14ac:dyDescent="0.25">
      <c r="A51" t="s">
        <v>10</v>
      </c>
      <c r="B51" t="s">
        <v>17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25</v>
      </c>
      <c r="P51" s="13">
        <v>2014</v>
      </c>
      <c r="Q51" s="12">
        <f>(5-WEEKDAY(financials[[#This Row],[Date]],2)+financials[[#This Row],[Date]])</f>
        <v>41824</v>
      </c>
    </row>
    <row r="52" spans="1:17" x14ac:dyDescent="0.25">
      <c r="A52" t="s">
        <v>11</v>
      </c>
      <c r="B52" t="s">
        <v>15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26</v>
      </c>
      <c r="P52" s="13">
        <v>2014</v>
      </c>
      <c r="Q52" s="12">
        <f>(5-WEEKDAY(financials[[#This Row],[Date]],2)+financials[[#This Row],[Date]])</f>
        <v>41852</v>
      </c>
    </row>
    <row r="53" spans="1:17" x14ac:dyDescent="0.25">
      <c r="A53" t="s">
        <v>10</v>
      </c>
      <c r="B53" t="s">
        <v>15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28</v>
      </c>
      <c r="P53" s="13">
        <v>2014</v>
      </c>
      <c r="Q53" s="12">
        <f>(5-WEEKDAY(financials[[#This Row],[Date]],2)+financials[[#This Row],[Date]])</f>
        <v>41915</v>
      </c>
    </row>
    <row r="54" spans="1:17" x14ac:dyDescent="0.25">
      <c r="A54" t="s">
        <v>8</v>
      </c>
      <c r="B54" t="s">
        <v>15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30</v>
      </c>
      <c r="P54" s="13">
        <v>2014</v>
      </c>
      <c r="Q54" s="12">
        <f>(5-WEEKDAY(financials[[#This Row],[Date]],2)+financials[[#This Row],[Date]])</f>
        <v>41978</v>
      </c>
    </row>
    <row r="55" spans="1:17" x14ac:dyDescent="0.25">
      <c r="A55" t="s">
        <v>10</v>
      </c>
      <c r="B55" t="s">
        <v>16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19</v>
      </c>
      <c r="P55" s="13">
        <v>2014</v>
      </c>
      <c r="Q55" s="12">
        <f>(5-WEEKDAY(financials[[#This Row],[Date]],2)+financials[[#This Row],[Date]])</f>
        <v>41642</v>
      </c>
    </row>
    <row r="56" spans="1:17" x14ac:dyDescent="0.25">
      <c r="A56" t="s">
        <v>8</v>
      </c>
      <c r="B56" t="s">
        <v>16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20</v>
      </c>
      <c r="P56" s="13">
        <v>2014</v>
      </c>
      <c r="Q56" s="12">
        <f>(5-WEEKDAY(financials[[#This Row],[Date]],2)+financials[[#This Row],[Date]])</f>
        <v>41670</v>
      </c>
    </row>
    <row r="57" spans="1:17" x14ac:dyDescent="0.25">
      <c r="A57" t="s">
        <v>10</v>
      </c>
      <c r="B57" t="s">
        <v>16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23</v>
      </c>
      <c r="P57" s="13">
        <v>2014</v>
      </c>
      <c r="Q57" s="12">
        <f>(5-WEEKDAY(financials[[#This Row],[Date]],2)+financials[[#This Row],[Date]])</f>
        <v>41761</v>
      </c>
    </row>
    <row r="58" spans="1:17" x14ac:dyDescent="0.25">
      <c r="A58" t="s">
        <v>10</v>
      </c>
      <c r="B58" t="s">
        <v>16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29</v>
      </c>
      <c r="P58" s="13">
        <v>2014</v>
      </c>
      <c r="Q58" s="12">
        <f>(5-WEEKDAY(financials[[#This Row],[Date]],2)+financials[[#This Row],[Date]])</f>
        <v>41943</v>
      </c>
    </row>
    <row r="59" spans="1:17" x14ac:dyDescent="0.25">
      <c r="A59" t="s">
        <v>10</v>
      </c>
      <c r="B59" t="s">
        <v>14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21</v>
      </c>
      <c r="P59" s="13">
        <v>2014</v>
      </c>
      <c r="Q59" s="12">
        <f>(5-WEEKDAY(financials[[#This Row],[Date]],2)+financials[[#This Row],[Date]])</f>
        <v>41698</v>
      </c>
    </row>
    <row r="60" spans="1:17" x14ac:dyDescent="0.25">
      <c r="A60" t="s">
        <v>11</v>
      </c>
      <c r="B60" t="s">
        <v>15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20</v>
      </c>
      <c r="P60" s="13">
        <v>2014</v>
      </c>
      <c r="Q60" s="12">
        <f>(5-WEEKDAY(financials[[#This Row],[Date]],2)+financials[[#This Row],[Date]])</f>
        <v>41670</v>
      </c>
    </row>
    <row r="61" spans="1:17" x14ac:dyDescent="0.25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21</v>
      </c>
      <c r="P61" s="13">
        <v>2014</v>
      </c>
      <c r="Q61" s="12">
        <f>(5-WEEKDAY(financials[[#This Row],[Date]],2)+financials[[#This Row],[Date]])</f>
        <v>41698</v>
      </c>
    </row>
    <row r="62" spans="1:17" x14ac:dyDescent="0.25">
      <c r="A62" t="s">
        <v>10</v>
      </c>
      <c r="B62" t="s">
        <v>15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25</v>
      </c>
      <c r="P62" s="13">
        <v>2014</v>
      </c>
      <c r="Q62" s="12">
        <f>(5-WEEKDAY(financials[[#This Row],[Date]],2)+financials[[#This Row],[Date]])</f>
        <v>41824</v>
      </c>
    </row>
    <row r="63" spans="1:17" x14ac:dyDescent="0.25">
      <c r="A63" t="s">
        <v>11</v>
      </c>
      <c r="B63" t="s">
        <v>14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27</v>
      </c>
      <c r="P63" s="13">
        <v>2014</v>
      </c>
      <c r="Q63" s="12">
        <f>(5-WEEKDAY(financials[[#This Row],[Date]],2)+financials[[#This Row],[Date]])</f>
        <v>41887</v>
      </c>
    </row>
    <row r="64" spans="1:17" x14ac:dyDescent="0.25">
      <c r="A64" t="s">
        <v>9</v>
      </c>
      <c r="B64" t="s">
        <v>15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27</v>
      </c>
      <c r="P64" s="13">
        <v>2013</v>
      </c>
      <c r="Q64" s="12">
        <f>(5-WEEKDAY(financials[[#This Row],[Date]],2)+financials[[#This Row],[Date]])</f>
        <v>41516</v>
      </c>
    </row>
    <row r="65" spans="1:17" x14ac:dyDescent="0.25">
      <c r="A65" t="s">
        <v>11</v>
      </c>
      <c r="B65" t="s">
        <v>16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27</v>
      </c>
      <c r="P65" s="13">
        <v>2014</v>
      </c>
      <c r="Q65" s="12">
        <f>(5-WEEKDAY(financials[[#This Row],[Date]],2)+financials[[#This Row],[Date]])</f>
        <v>41887</v>
      </c>
    </row>
    <row r="66" spans="1:17" x14ac:dyDescent="0.25">
      <c r="A66" t="s">
        <v>11</v>
      </c>
      <c r="B66" t="s">
        <v>17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28</v>
      </c>
      <c r="P66" s="13">
        <v>2013</v>
      </c>
      <c r="Q66" s="12">
        <f>(5-WEEKDAY(financials[[#This Row],[Date]],2)+financials[[#This Row],[Date]])</f>
        <v>41551</v>
      </c>
    </row>
    <row r="67" spans="1:17" x14ac:dyDescent="0.25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28</v>
      </c>
      <c r="P67" s="13">
        <v>2013</v>
      </c>
      <c r="Q67" s="12">
        <f>(5-WEEKDAY(financials[[#This Row],[Date]],2)+financials[[#This Row],[Date]])</f>
        <v>41551</v>
      </c>
    </row>
    <row r="68" spans="1:17" x14ac:dyDescent="0.25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28</v>
      </c>
      <c r="P68" s="13">
        <v>2014</v>
      </c>
      <c r="Q68" s="12">
        <f>(5-WEEKDAY(financials[[#This Row],[Date]],2)+financials[[#This Row],[Date]])</f>
        <v>41915</v>
      </c>
    </row>
    <row r="69" spans="1:17" x14ac:dyDescent="0.25">
      <c r="A69" t="s">
        <v>10</v>
      </c>
      <c r="B69" t="s">
        <v>16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30</v>
      </c>
      <c r="P69" s="13">
        <v>2014</v>
      </c>
      <c r="Q69" s="12">
        <f>(5-WEEKDAY(financials[[#This Row],[Date]],2)+financials[[#This Row],[Date]])</f>
        <v>41978</v>
      </c>
    </row>
    <row r="70" spans="1:17" x14ac:dyDescent="0.25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21</v>
      </c>
      <c r="P70" s="13">
        <v>2014</v>
      </c>
      <c r="Q70" s="12">
        <f>(5-WEEKDAY(financials[[#This Row],[Date]],2)+financials[[#This Row],[Date]])</f>
        <v>41698</v>
      </c>
    </row>
    <row r="71" spans="1:17" x14ac:dyDescent="0.25">
      <c r="A71" t="s">
        <v>7</v>
      </c>
      <c r="B71" t="s">
        <v>15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22</v>
      </c>
      <c r="P71" s="13">
        <v>2014</v>
      </c>
      <c r="Q71" s="12">
        <f>(5-WEEKDAY(financials[[#This Row],[Date]],2)+financials[[#This Row],[Date]])</f>
        <v>41733</v>
      </c>
    </row>
    <row r="72" spans="1:17" x14ac:dyDescent="0.25">
      <c r="A72" t="s">
        <v>10</v>
      </c>
      <c r="B72" t="s">
        <v>16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25</v>
      </c>
      <c r="P72" s="13">
        <v>2014</v>
      </c>
      <c r="Q72" s="12">
        <f>(5-WEEKDAY(financials[[#This Row],[Date]],2)+financials[[#This Row],[Date]])</f>
        <v>41824</v>
      </c>
    </row>
    <row r="73" spans="1:17" x14ac:dyDescent="0.25">
      <c r="A73" t="s">
        <v>10</v>
      </c>
      <c r="B73" t="s">
        <v>14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26</v>
      </c>
      <c r="P73" s="13">
        <v>2014</v>
      </c>
      <c r="Q73" s="12">
        <f>(5-WEEKDAY(financials[[#This Row],[Date]],2)+financials[[#This Row],[Date]])</f>
        <v>41852</v>
      </c>
    </row>
    <row r="74" spans="1:17" x14ac:dyDescent="0.25">
      <c r="A74" t="s">
        <v>7</v>
      </c>
      <c r="B74" t="s">
        <v>15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27</v>
      </c>
      <c r="P74" s="13">
        <v>2013</v>
      </c>
      <c r="Q74" s="12">
        <f>(5-WEEKDAY(financials[[#This Row],[Date]],2)+financials[[#This Row],[Date]])</f>
        <v>41516</v>
      </c>
    </row>
    <row r="75" spans="1:17" x14ac:dyDescent="0.25">
      <c r="A75" t="s">
        <v>9</v>
      </c>
      <c r="B75" t="s">
        <v>15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28</v>
      </c>
      <c r="P75" s="13">
        <v>2013</v>
      </c>
      <c r="Q75" s="12">
        <f>(5-WEEKDAY(financials[[#This Row],[Date]],2)+financials[[#This Row],[Date]])</f>
        <v>41551</v>
      </c>
    </row>
    <row r="76" spans="1:17" x14ac:dyDescent="0.25">
      <c r="A76" t="s">
        <v>8</v>
      </c>
      <c r="B76" t="s">
        <v>15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20</v>
      </c>
      <c r="P76" s="13">
        <v>2014</v>
      </c>
      <c r="Q76" s="12">
        <f>(5-WEEKDAY(financials[[#This Row],[Date]],2)+financials[[#This Row],[Date]])</f>
        <v>41670</v>
      </c>
    </row>
    <row r="77" spans="1:17" x14ac:dyDescent="0.25">
      <c r="A77" t="s">
        <v>10</v>
      </c>
      <c r="B77" t="s">
        <v>15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22</v>
      </c>
      <c r="P77" s="13">
        <v>2014</v>
      </c>
      <c r="Q77" s="12">
        <f>(5-WEEKDAY(financials[[#This Row],[Date]],2)+financials[[#This Row],[Date]])</f>
        <v>41733</v>
      </c>
    </row>
    <row r="78" spans="1:17" x14ac:dyDescent="0.25">
      <c r="A78" t="s">
        <v>9</v>
      </c>
      <c r="B78" t="s">
        <v>15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24</v>
      </c>
      <c r="P78" s="13">
        <v>2014</v>
      </c>
      <c r="Q78" s="12">
        <f>(5-WEEKDAY(financials[[#This Row],[Date]],2)+financials[[#This Row],[Date]])</f>
        <v>41789</v>
      </c>
    </row>
    <row r="79" spans="1:17" x14ac:dyDescent="0.25">
      <c r="A79" t="s">
        <v>9</v>
      </c>
      <c r="B79" t="s">
        <v>16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24</v>
      </c>
      <c r="P79" s="13">
        <v>2014</v>
      </c>
      <c r="Q79" s="12">
        <f>(5-WEEKDAY(financials[[#This Row],[Date]],2)+financials[[#This Row],[Date]])</f>
        <v>41789</v>
      </c>
    </row>
    <row r="80" spans="1:17" x14ac:dyDescent="0.25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25</v>
      </c>
      <c r="P80" s="13">
        <v>2014</v>
      </c>
      <c r="Q80" s="12">
        <f>(5-WEEKDAY(financials[[#This Row],[Date]],2)+financials[[#This Row],[Date]])</f>
        <v>41824</v>
      </c>
    </row>
    <row r="81" spans="1:17" x14ac:dyDescent="0.25">
      <c r="A81" t="s">
        <v>8</v>
      </c>
      <c r="B81" t="s">
        <v>17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27</v>
      </c>
      <c r="P81" s="13">
        <v>2014</v>
      </c>
      <c r="Q81" s="12">
        <f>(5-WEEKDAY(financials[[#This Row],[Date]],2)+financials[[#This Row],[Date]])</f>
        <v>41887</v>
      </c>
    </row>
    <row r="82" spans="1:17" x14ac:dyDescent="0.25">
      <c r="A82" t="s">
        <v>11</v>
      </c>
      <c r="B82" t="s">
        <v>17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28</v>
      </c>
      <c r="P82" s="13">
        <v>2013</v>
      </c>
      <c r="Q82" s="12">
        <f>(5-WEEKDAY(financials[[#This Row],[Date]],2)+financials[[#This Row],[Date]])</f>
        <v>41551</v>
      </c>
    </row>
    <row r="83" spans="1:17" x14ac:dyDescent="0.25">
      <c r="A83" t="s">
        <v>7</v>
      </c>
      <c r="B83" t="s">
        <v>15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29</v>
      </c>
      <c r="P83" s="13">
        <v>2014</v>
      </c>
      <c r="Q83" s="12">
        <f>(5-WEEKDAY(financials[[#This Row],[Date]],2)+financials[[#This Row],[Date]])</f>
        <v>41943</v>
      </c>
    </row>
    <row r="84" spans="1:17" x14ac:dyDescent="0.25">
      <c r="A84" t="s">
        <v>10</v>
      </c>
      <c r="B84" t="s">
        <v>16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30</v>
      </c>
      <c r="P84" s="13">
        <v>2014</v>
      </c>
      <c r="Q84" s="12">
        <f>(5-WEEKDAY(financials[[#This Row],[Date]],2)+financials[[#This Row],[Date]])</f>
        <v>41978</v>
      </c>
    </row>
    <row r="85" spans="1:17" x14ac:dyDescent="0.25">
      <c r="A85" t="s">
        <v>10</v>
      </c>
      <c r="B85" t="s">
        <v>16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22</v>
      </c>
      <c r="P85" s="13">
        <v>2014</v>
      </c>
      <c r="Q85" s="12">
        <f>(5-WEEKDAY(financials[[#This Row],[Date]],2)+financials[[#This Row],[Date]])</f>
        <v>41733</v>
      </c>
    </row>
    <row r="86" spans="1:17" x14ac:dyDescent="0.25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23</v>
      </c>
      <c r="P86" s="13">
        <v>2014</v>
      </c>
      <c r="Q86" s="12">
        <f>(5-WEEKDAY(financials[[#This Row],[Date]],2)+financials[[#This Row],[Date]])</f>
        <v>41761</v>
      </c>
    </row>
    <row r="87" spans="1:17" x14ac:dyDescent="0.25">
      <c r="A87" t="s">
        <v>9</v>
      </c>
      <c r="B87" t="s">
        <v>14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26</v>
      </c>
      <c r="P87" s="13">
        <v>2014</v>
      </c>
      <c r="Q87" s="12">
        <f>(5-WEEKDAY(financials[[#This Row],[Date]],2)+financials[[#This Row],[Date]])</f>
        <v>41852</v>
      </c>
    </row>
    <row r="88" spans="1:17" x14ac:dyDescent="0.25">
      <c r="A88" t="s">
        <v>9</v>
      </c>
      <c r="B88" t="s">
        <v>15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28</v>
      </c>
      <c r="P88" s="13">
        <v>2013</v>
      </c>
      <c r="Q88" s="12">
        <f>(5-WEEKDAY(financials[[#This Row],[Date]],2)+financials[[#This Row],[Date]])</f>
        <v>41551</v>
      </c>
    </row>
    <row r="89" spans="1:17" x14ac:dyDescent="0.25">
      <c r="A89" t="s">
        <v>10</v>
      </c>
      <c r="B89" t="s">
        <v>14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29</v>
      </c>
      <c r="P89" s="13">
        <v>2013</v>
      </c>
      <c r="Q89" s="12">
        <f>(5-WEEKDAY(financials[[#This Row],[Date]],2)+financials[[#This Row],[Date]])</f>
        <v>41579</v>
      </c>
    </row>
    <row r="90" spans="1:17" x14ac:dyDescent="0.25">
      <c r="A90" t="s">
        <v>10</v>
      </c>
      <c r="B90" t="s">
        <v>17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21</v>
      </c>
      <c r="P90" s="13">
        <v>2014</v>
      </c>
      <c r="Q90" s="12">
        <f>(5-WEEKDAY(financials[[#This Row],[Date]],2)+financials[[#This Row],[Date]])</f>
        <v>41698</v>
      </c>
    </row>
    <row r="91" spans="1:17" x14ac:dyDescent="0.25">
      <c r="A91" t="s">
        <v>10</v>
      </c>
      <c r="B91" t="s">
        <v>14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22</v>
      </c>
      <c r="P91" s="13">
        <v>2014</v>
      </c>
      <c r="Q91" s="12">
        <f>(5-WEEKDAY(financials[[#This Row],[Date]],2)+financials[[#This Row],[Date]])</f>
        <v>41733</v>
      </c>
    </row>
    <row r="92" spans="1:17" x14ac:dyDescent="0.25">
      <c r="A92" t="s">
        <v>9</v>
      </c>
      <c r="B92" t="s">
        <v>15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24</v>
      </c>
      <c r="P92" s="13">
        <v>2014</v>
      </c>
      <c r="Q92" s="12">
        <f>(5-WEEKDAY(financials[[#This Row],[Date]],2)+financials[[#This Row],[Date]])</f>
        <v>41789</v>
      </c>
    </row>
    <row r="93" spans="1:17" x14ac:dyDescent="0.25">
      <c r="A93" t="s">
        <v>9</v>
      </c>
      <c r="B93" t="s">
        <v>16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24</v>
      </c>
      <c r="P93" s="13">
        <v>2014</v>
      </c>
      <c r="Q93" s="12">
        <f>(5-WEEKDAY(financials[[#This Row],[Date]],2)+financials[[#This Row],[Date]])</f>
        <v>41789</v>
      </c>
    </row>
    <row r="94" spans="1:17" x14ac:dyDescent="0.25">
      <c r="A94" t="s">
        <v>7</v>
      </c>
      <c r="B94" t="s">
        <v>17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27</v>
      </c>
      <c r="P94" s="13">
        <v>2014</v>
      </c>
      <c r="Q94" s="12">
        <f>(5-WEEKDAY(financials[[#This Row],[Date]],2)+financials[[#This Row],[Date]])</f>
        <v>41887</v>
      </c>
    </row>
    <row r="95" spans="1:17" x14ac:dyDescent="0.25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28</v>
      </c>
      <c r="P95" s="13">
        <v>2013</v>
      </c>
      <c r="Q95" s="12">
        <f>(5-WEEKDAY(financials[[#This Row],[Date]],2)+financials[[#This Row],[Date]])</f>
        <v>41551</v>
      </c>
    </row>
    <row r="96" spans="1:17" x14ac:dyDescent="0.25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28</v>
      </c>
      <c r="P96" s="13">
        <v>2014</v>
      </c>
      <c r="Q96" s="12">
        <f>(5-WEEKDAY(financials[[#This Row],[Date]],2)+financials[[#This Row],[Date]])</f>
        <v>41915</v>
      </c>
    </row>
    <row r="97" spans="1:17" x14ac:dyDescent="0.25">
      <c r="A97" t="s">
        <v>9</v>
      </c>
      <c r="B97" t="s">
        <v>16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29</v>
      </c>
      <c r="P97" s="13">
        <v>2014</v>
      </c>
      <c r="Q97" s="12">
        <f>(5-WEEKDAY(financials[[#This Row],[Date]],2)+financials[[#This Row],[Date]])</f>
        <v>41943</v>
      </c>
    </row>
    <row r="98" spans="1:17" x14ac:dyDescent="0.25">
      <c r="A98" t="s">
        <v>11</v>
      </c>
      <c r="B98" t="s">
        <v>15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27</v>
      </c>
      <c r="P98" s="13">
        <v>2013</v>
      </c>
      <c r="Q98" s="12">
        <f>(5-WEEKDAY(financials[[#This Row],[Date]],2)+financials[[#This Row],[Date]])</f>
        <v>41516</v>
      </c>
    </row>
    <row r="99" spans="1:17" x14ac:dyDescent="0.25">
      <c r="A99" t="s">
        <v>8</v>
      </c>
      <c r="B99" t="s">
        <v>16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29</v>
      </c>
      <c r="P99" s="13">
        <v>2013</v>
      </c>
      <c r="Q99" s="12">
        <f>(5-WEEKDAY(financials[[#This Row],[Date]],2)+financials[[#This Row],[Date]])</f>
        <v>41579</v>
      </c>
    </row>
    <row r="100" spans="1:17" x14ac:dyDescent="0.25">
      <c r="A100" t="s">
        <v>9</v>
      </c>
      <c r="B100" t="s">
        <v>14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22</v>
      </c>
      <c r="P100" s="13">
        <v>2014</v>
      </c>
      <c r="Q100" s="12">
        <f>(5-WEEKDAY(financials[[#This Row],[Date]],2)+financials[[#This Row],[Date]])</f>
        <v>41733</v>
      </c>
    </row>
    <row r="101" spans="1:17" x14ac:dyDescent="0.25">
      <c r="A101" t="s">
        <v>11</v>
      </c>
      <c r="B101" t="s">
        <v>14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28</v>
      </c>
      <c r="P101" s="13">
        <v>2014</v>
      </c>
      <c r="Q101" s="12">
        <f>(5-WEEKDAY(financials[[#This Row],[Date]],2)+financials[[#This Row],[Date]])</f>
        <v>41915</v>
      </c>
    </row>
    <row r="102" spans="1:17" x14ac:dyDescent="0.25">
      <c r="A102" t="s">
        <v>7</v>
      </c>
      <c r="B102" t="s">
        <v>17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28</v>
      </c>
      <c r="P102" s="13">
        <v>2013</v>
      </c>
      <c r="Q102" s="12">
        <f>(5-WEEKDAY(financials[[#This Row],[Date]],2)+financials[[#This Row],[Date]])</f>
        <v>41551</v>
      </c>
    </row>
    <row r="103" spans="1:17" x14ac:dyDescent="0.25">
      <c r="A103" t="s">
        <v>10</v>
      </c>
      <c r="B103" t="s">
        <v>16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29</v>
      </c>
      <c r="P103" s="13">
        <v>2013</v>
      </c>
      <c r="Q103" s="12">
        <f>(5-WEEKDAY(financials[[#This Row],[Date]],2)+financials[[#This Row],[Date]])</f>
        <v>41579</v>
      </c>
    </row>
    <row r="104" spans="1:17" x14ac:dyDescent="0.25">
      <c r="A104" t="s">
        <v>10</v>
      </c>
      <c r="B104" t="s">
        <v>14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30</v>
      </c>
      <c r="P104" s="13">
        <v>2014</v>
      </c>
      <c r="Q104" s="12">
        <f>(5-WEEKDAY(financials[[#This Row],[Date]],2)+financials[[#This Row],[Date]])</f>
        <v>41978</v>
      </c>
    </row>
    <row r="105" spans="1:17" x14ac:dyDescent="0.25">
      <c r="A105" t="s">
        <v>11</v>
      </c>
      <c r="B105" t="s">
        <v>15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24</v>
      </c>
      <c r="P105" s="13">
        <v>2014</v>
      </c>
      <c r="Q105" s="12">
        <f>(5-WEEKDAY(financials[[#This Row],[Date]],2)+financials[[#This Row],[Date]])</f>
        <v>41789</v>
      </c>
    </row>
    <row r="106" spans="1:17" x14ac:dyDescent="0.25">
      <c r="A106" t="s">
        <v>10</v>
      </c>
      <c r="B106" t="s">
        <v>15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28</v>
      </c>
      <c r="P106" s="13">
        <v>2014</v>
      </c>
      <c r="Q106" s="12">
        <f>(5-WEEKDAY(financials[[#This Row],[Date]],2)+financials[[#This Row],[Date]])</f>
        <v>41915</v>
      </c>
    </row>
    <row r="107" spans="1:17" x14ac:dyDescent="0.25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29</v>
      </c>
      <c r="P107" s="13">
        <v>2014</v>
      </c>
      <c r="Q107" s="12">
        <f>(5-WEEKDAY(financials[[#This Row],[Date]],2)+financials[[#This Row],[Date]])</f>
        <v>41943</v>
      </c>
    </row>
    <row r="108" spans="1:17" x14ac:dyDescent="0.25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29</v>
      </c>
      <c r="P108" s="13">
        <v>2013</v>
      </c>
      <c r="Q108" s="12">
        <f>(5-WEEKDAY(financials[[#This Row],[Date]],2)+financials[[#This Row],[Date]])</f>
        <v>41579</v>
      </c>
    </row>
    <row r="109" spans="1:17" x14ac:dyDescent="0.25">
      <c r="A109" t="s">
        <v>8</v>
      </c>
      <c r="B109" t="s">
        <v>14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20</v>
      </c>
      <c r="P109" s="13">
        <v>2014</v>
      </c>
      <c r="Q109" s="12">
        <f>(5-WEEKDAY(financials[[#This Row],[Date]],2)+financials[[#This Row],[Date]])</f>
        <v>41670</v>
      </c>
    </row>
    <row r="110" spans="1:17" x14ac:dyDescent="0.25">
      <c r="A110" t="s">
        <v>7</v>
      </c>
      <c r="B110" t="s">
        <v>16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23</v>
      </c>
      <c r="P110" s="13">
        <v>2014</v>
      </c>
      <c r="Q110" s="12">
        <f>(5-WEEKDAY(financials[[#This Row],[Date]],2)+financials[[#This Row],[Date]])</f>
        <v>41761</v>
      </c>
    </row>
    <row r="111" spans="1:17" x14ac:dyDescent="0.25">
      <c r="A111" t="s">
        <v>7</v>
      </c>
      <c r="B111" t="s">
        <v>17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23</v>
      </c>
      <c r="P111" s="13">
        <v>2014</v>
      </c>
      <c r="Q111" s="12">
        <f>(5-WEEKDAY(financials[[#This Row],[Date]],2)+financials[[#This Row],[Date]])</f>
        <v>41761</v>
      </c>
    </row>
    <row r="112" spans="1:17" x14ac:dyDescent="0.25">
      <c r="A112" t="s">
        <v>11</v>
      </c>
      <c r="B112" t="s">
        <v>15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24</v>
      </c>
      <c r="P112" s="13">
        <v>2014</v>
      </c>
      <c r="Q112" s="12">
        <f>(5-WEEKDAY(financials[[#This Row],[Date]],2)+financials[[#This Row],[Date]])</f>
        <v>41789</v>
      </c>
    </row>
    <row r="113" spans="1:17" x14ac:dyDescent="0.25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24</v>
      </c>
      <c r="P113" s="13">
        <v>2014</v>
      </c>
      <c r="Q113" s="12">
        <f>(5-WEEKDAY(financials[[#This Row],[Date]],2)+financials[[#This Row],[Date]])</f>
        <v>41789</v>
      </c>
    </row>
    <row r="114" spans="1:17" x14ac:dyDescent="0.25">
      <c r="A114" t="s">
        <v>11</v>
      </c>
      <c r="B114" t="s">
        <v>14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28</v>
      </c>
      <c r="P114" s="13">
        <v>2014</v>
      </c>
      <c r="Q114" s="12">
        <f>(5-WEEKDAY(financials[[#This Row],[Date]],2)+financials[[#This Row],[Date]])</f>
        <v>41915</v>
      </c>
    </row>
    <row r="115" spans="1:17" x14ac:dyDescent="0.25">
      <c r="A115" t="s">
        <v>9</v>
      </c>
      <c r="B115" t="s">
        <v>17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28</v>
      </c>
      <c r="P115" s="13">
        <v>2013</v>
      </c>
      <c r="Q115" s="12">
        <f>(5-WEEKDAY(financials[[#This Row],[Date]],2)+financials[[#This Row],[Date]])</f>
        <v>41551</v>
      </c>
    </row>
    <row r="116" spans="1:17" x14ac:dyDescent="0.25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28</v>
      </c>
      <c r="P116" s="13">
        <v>2013</v>
      </c>
      <c r="Q116" s="12">
        <f>(5-WEEKDAY(financials[[#This Row],[Date]],2)+financials[[#This Row],[Date]])</f>
        <v>41551</v>
      </c>
    </row>
    <row r="117" spans="1:17" x14ac:dyDescent="0.25">
      <c r="A117" t="s">
        <v>11</v>
      </c>
      <c r="B117" t="s">
        <v>16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29</v>
      </c>
      <c r="P117" s="13">
        <v>2013</v>
      </c>
      <c r="Q117" s="12">
        <f>(5-WEEKDAY(financials[[#This Row],[Date]],2)+financials[[#This Row],[Date]])</f>
        <v>41579</v>
      </c>
    </row>
    <row r="118" spans="1:17" x14ac:dyDescent="0.25">
      <c r="A118" t="s">
        <v>7</v>
      </c>
      <c r="B118" t="s">
        <v>14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30</v>
      </c>
      <c r="P118" s="13">
        <v>2014</v>
      </c>
      <c r="Q118" s="12">
        <f>(5-WEEKDAY(financials[[#This Row],[Date]],2)+financials[[#This Row],[Date]])</f>
        <v>41978</v>
      </c>
    </row>
    <row r="119" spans="1:17" x14ac:dyDescent="0.25">
      <c r="A119" t="s">
        <v>10</v>
      </c>
      <c r="B119" t="s">
        <v>14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30</v>
      </c>
      <c r="P119" s="13">
        <v>2014</v>
      </c>
      <c r="Q119" s="12">
        <f>(5-WEEKDAY(financials[[#This Row],[Date]],2)+financials[[#This Row],[Date]])</f>
        <v>41978</v>
      </c>
    </row>
    <row r="120" spans="1:17" x14ac:dyDescent="0.25">
      <c r="A120" t="s">
        <v>9</v>
      </c>
      <c r="B120" t="s">
        <v>14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30</v>
      </c>
      <c r="P120" s="13">
        <v>2014</v>
      </c>
      <c r="Q120" s="12">
        <f>(5-WEEKDAY(financials[[#This Row],[Date]],2)+financials[[#This Row],[Date]])</f>
        <v>41978</v>
      </c>
    </row>
    <row r="121" spans="1:17" x14ac:dyDescent="0.25">
      <c r="A121" t="s">
        <v>8</v>
      </c>
      <c r="B121" t="s">
        <v>15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30</v>
      </c>
      <c r="P121" s="13">
        <v>2013</v>
      </c>
      <c r="Q121" s="12">
        <f>(5-WEEKDAY(financials[[#This Row],[Date]],2)+financials[[#This Row],[Date]])</f>
        <v>41607</v>
      </c>
    </row>
    <row r="122" spans="1:17" x14ac:dyDescent="0.25">
      <c r="A122" t="s">
        <v>10</v>
      </c>
      <c r="B122" t="s">
        <v>15</v>
      </c>
      <c r="C122" s="5" t="s">
        <v>38</v>
      </c>
      <c r="D122" s="5" t="s">
        <v>44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30</v>
      </c>
      <c r="P122" s="13">
        <v>2013</v>
      </c>
      <c r="Q122" s="12">
        <f>(5-WEEKDAY(financials[[#This Row],[Date]],2)+financials[[#This Row],[Date]])</f>
        <v>41607</v>
      </c>
    </row>
    <row r="123" spans="1:17" x14ac:dyDescent="0.25">
      <c r="A123" t="s">
        <v>11</v>
      </c>
      <c r="B123" t="s">
        <v>16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30</v>
      </c>
      <c r="P123" s="13">
        <v>2014</v>
      </c>
      <c r="Q123" s="12">
        <f>(5-WEEKDAY(financials[[#This Row],[Date]],2)+financials[[#This Row],[Date]])</f>
        <v>41978</v>
      </c>
    </row>
    <row r="124" spans="1:17" x14ac:dyDescent="0.25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30</v>
      </c>
      <c r="P124" s="13">
        <v>2014</v>
      </c>
      <c r="Q124" s="12">
        <f>(5-WEEKDAY(financials[[#This Row],[Date]],2)+financials[[#This Row],[Date]])</f>
        <v>41978</v>
      </c>
    </row>
    <row r="125" spans="1:17" x14ac:dyDescent="0.25">
      <c r="A125" t="s">
        <v>10</v>
      </c>
      <c r="B125" t="s">
        <v>15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28</v>
      </c>
      <c r="P125" s="13">
        <v>2014</v>
      </c>
      <c r="Q125" s="12">
        <f>(5-WEEKDAY(financials[[#This Row],[Date]],2)+financials[[#This Row],[Date]])</f>
        <v>41915</v>
      </c>
    </row>
    <row r="126" spans="1:17" x14ac:dyDescent="0.25">
      <c r="A126" t="s">
        <v>10</v>
      </c>
      <c r="B126" t="s">
        <v>17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28</v>
      </c>
      <c r="P126" s="13">
        <v>2013</v>
      </c>
      <c r="Q126" s="12">
        <f>(5-WEEKDAY(financials[[#This Row],[Date]],2)+financials[[#This Row],[Date]])</f>
        <v>41551</v>
      </c>
    </row>
    <row r="127" spans="1:17" x14ac:dyDescent="0.25">
      <c r="A127" t="s">
        <v>10</v>
      </c>
      <c r="B127" t="s">
        <v>17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28</v>
      </c>
      <c r="P127" s="13">
        <v>2014</v>
      </c>
      <c r="Q127" s="12">
        <f>(5-WEEKDAY(financials[[#This Row],[Date]],2)+financials[[#This Row],[Date]])</f>
        <v>41915</v>
      </c>
    </row>
    <row r="128" spans="1:17" x14ac:dyDescent="0.25">
      <c r="A128" t="s">
        <v>9</v>
      </c>
      <c r="B128" t="s">
        <v>17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28</v>
      </c>
      <c r="P128" s="13">
        <v>2013</v>
      </c>
      <c r="Q128" s="12">
        <f>(5-WEEKDAY(financials[[#This Row],[Date]],2)+financials[[#This Row],[Date]])</f>
        <v>41551</v>
      </c>
    </row>
    <row r="129" spans="1:17" x14ac:dyDescent="0.25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28</v>
      </c>
      <c r="P129" s="13">
        <v>2013</v>
      </c>
      <c r="Q129" s="12">
        <f>(5-WEEKDAY(financials[[#This Row],[Date]],2)+financials[[#This Row],[Date]])</f>
        <v>41551</v>
      </c>
    </row>
    <row r="130" spans="1:17" x14ac:dyDescent="0.25">
      <c r="A130" t="s">
        <v>11</v>
      </c>
      <c r="B130" t="s">
        <v>16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30</v>
      </c>
      <c r="P130" s="13">
        <v>2014</v>
      </c>
      <c r="Q130" s="12">
        <f>(5-WEEKDAY(financials[[#This Row],[Date]],2)+financials[[#This Row],[Date]])</f>
        <v>41978</v>
      </c>
    </row>
    <row r="131" spans="1:17" x14ac:dyDescent="0.25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30</v>
      </c>
      <c r="P131" s="13">
        <v>2013</v>
      </c>
      <c r="Q131" s="12">
        <f>(5-WEEKDAY(financials[[#This Row],[Date]],2)+financials[[#This Row],[Date]])</f>
        <v>41607</v>
      </c>
    </row>
    <row r="132" spans="1:17" x14ac:dyDescent="0.25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30</v>
      </c>
      <c r="P132" s="13">
        <v>2014</v>
      </c>
      <c r="Q132" s="12">
        <f>(5-WEEKDAY(financials[[#This Row],[Date]],2)+financials[[#This Row],[Date]])</f>
        <v>41978</v>
      </c>
    </row>
    <row r="133" spans="1:17" x14ac:dyDescent="0.25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24</v>
      </c>
      <c r="P133" s="13">
        <v>2014</v>
      </c>
      <c r="Q133" s="12">
        <f>(5-WEEKDAY(financials[[#This Row],[Date]],2)+financials[[#This Row],[Date]])</f>
        <v>41789</v>
      </c>
    </row>
    <row r="134" spans="1:17" x14ac:dyDescent="0.25">
      <c r="A134" t="s">
        <v>7</v>
      </c>
      <c r="B134" t="s">
        <v>17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28</v>
      </c>
      <c r="P134" s="13">
        <v>2013</v>
      </c>
      <c r="Q134" s="12">
        <f>(5-WEEKDAY(financials[[#This Row],[Date]],2)+financials[[#This Row],[Date]])</f>
        <v>41551</v>
      </c>
    </row>
    <row r="135" spans="1:17" x14ac:dyDescent="0.25">
      <c r="A135" t="s">
        <v>10</v>
      </c>
      <c r="B135" t="s">
        <v>17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28</v>
      </c>
      <c r="P135" s="13">
        <v>2014</v>
      </c>
      <c r="Q135" s="12">
        <f>(5-WEEKDAY(financials[[#This Row],[Date]],2)+financials[[#This Row],[Date]])</f>
        <v>41915</v>
      </c>
    </row>
    <row r="136" spans="1:17" x14ac:dyDescent="0.25">
      <c r="A136" t="s">
        <v>9</v>
      </c>
      <c r="B136" t="s">
        <v>14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30</v>
      </c>
      <c r="P136" s="13">
        <v>2014</v>
      </c>
      <c r="Q136" s="12">
        <f>(5-WEEKDAY(financials[[#This Row],[Date]],2)+financials[[#This Row],[Date]])</f>
        <v>41978</v>
      </c>
    </row>
    <row r="137" spans="1:17" x14ac:dyDescent="0.25">
      <c r="A137" t="s">
        <v>10</v>
      </c>
      <c r="B137" t="s">
        <v>15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30</v>
      </c>
      <c r="P137" s="13">
        <v>2013</v>
      </c>
      <c r="Q137" s="12">
        <f>(5-WEEKDAY(financials[[#This Row],[Date]],2)+financials[[#This Row],[Date]])</f>
        <v>41607</v>
      </c>
    </row>
    <row r="138" spans="1:17" x14ac:dyDescent="0.25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30</v>
      </c>
      <c r="P138" s="13">
        <v>2013</v>
      </c>
      <c r="Q138" s="12">
        <f>(5-WEEKDAY(financials[[#This Row],[Date]],2)+financials[[#This Row],[Date]])</f>
        <v>41607</v>
      </c>
    </row>
    <row r="139" spans="1:17" x14ac:dyDescent="0.25">
      <c r="A139" t="s">
        <v>7</v>
      </c>
      <c r="B139" t="s">
        <v>17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21</v>
      </c>
      <c r="P139" s="13">
        <v>2014</v>
      </c>
      <c r="Q139" s="12">
        <f>(5-WEEKDAY(financials[[#This Row],[Date]],2)+financials[[#This Row],[Date]])</f>
        <v>41698</v>
      </c>
    </row>
    <row r="140" spans="1:17" x14ac:dyDescent="0.25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21</v>
      </c>
      <c r="P140" s="13">
        <v>2014</v>
      </c>
      <c r="Q140" s="12">
        <f>(5-WEEKDAY(financials[[#This Row],[Date]],2)+financials[[#This Row],[Date]])</f>
        <v>41698</v>
      </c>
    </row>
    <row r="141" spans="1:17" x14ac:dyDescent="0.25">
      <c r="A141" t="s">
        <v>9</v>
      </c>
      <c r="B141" t="s">
        <v>17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23</v>
      </c>
      <c r="P141" s="13">
        <v>2014</v>
      </c>
      <c r="Q141" s="12">
        <f>(5-WEEKDAY(financials[[#This Row],[Date]],2)+financials[[#This Row],[Date]])</f>
        <v>41761</v>
      </c>
    </row>
    <row r="142" spans="1:17" x14ac:dyDescent="0.25">
      <c r="A142" t="s">
        <v>10</v>
      </c>
      <c r="B142" t="s">
        <v>17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28</v>
      </c>
      <c r="P142" s="13">
        <v>2013</v>
      </c>
      <c r="Q142" s="12">
        <f>(5-WEEKDAY(financials[[#This Row],[Date]],2)+financials[[#This Row],[Date]])</f>
        <v>41551</v>
      </c>
    </row>
    <row r="143" spans="1:17" x14ac:dyDescent="0.25">
      <c r="A143" t="s">
        <v>10</v>
      </c>
      <c r="B143" t="s">
        <v>15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29</v>
      </c>
      <c r="P143" s="13">
        <v>2014</v>
      </c>
      <c r="Q143" s="12">
        <f>(5-WEEKDAY(financials[[#This Row],[Date]],2)+financials[[#This Row],[Date]])</f>
        <v>41943</v>
      </c>
    </row>
    <row r="144" spans="1:17" x14ac:dyDescent="0.25">
      <c r="A144" t="s">
        <v>10</v>
      </c>
      <c r="B144" t="s">
        <v>16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29</v>
      </c>
      <c r="P144" s="13">
        <v>2014</v>
      </c>
      <c r="Q144" s="12">
        <f>(5-WEEKDAY(financials[[#This Row],[Date]],2)+financials[[#This Row],[Date]])</f>
        <v>41943</v>
      </c>
    </row>
    <row r="145" spans="1:17" x14ac:dyDescent="0.25">
      <c r="A145" t="s">
        <v>7</v>
      </c>
      <c r="B145" t="s">
        <v>14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30</v>
      </c>
      <c r="P145" s="13">
        <v>2014</v>
      </c>
      <c r="Q145" s="12">
        <f>(5-WEEKDAY(financials[[#This Row],[Date]],2)+financials[[#This Row],[Date]])</f>
        <v>41978</v>
      </c>
    </row>
    <row r="146" spans="1:17" x14ac:dyDescent="0.25">
      <c r="A146" t="s">
        <v>9</v>
      </c>
      <c r="B146" t="s">
        <v>16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22</v>
      </c>
      <c r="P146" s="13">
        <v>2014</v>
      </c>
      <c r="Q146" s="12">
        <f>(5-WEEKDAY(financials[[#This Row],[Date]],2)+financials[[#This Row],[Date]])</f>
        <v>41733</v>
      </c>
    </row>
    <row r="147" spans="1:17" x14ac:dyDescent="0.25">
      <c r="A147" t="s">
        <v>10</v>
      </c>
      <c r="B147" t="s">
        <v>17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22</v>
      </c>
      <c r="P147" s="13">
        <v>2014</v>
      </c>
      <c r="Q147" s="12">
        <f>(5-WEEKDAY(financials[[#This Row],[Date]],2)+financials[[#This Row],[Date]])</f>
        <v>41733</v>
      </c>
    </row>
    <row r="148" spans="1:17" x14ac:dyDescent="0.25">
      <c r="A148" t="s">
        <v>7</v>
      </c>
      <c r="B148" t="s">
        <v>17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24</v>
      </c>
      <c r="P148" s="13">
        <v>2014</v>
      </c>
      <c r="Q148" s="12">
        <f>(5-WEEKDAY(financials[[#This Row],[Date]],2)+financials[[#This Row],[Date]])</f>
        <v>41789</v>
      </c>
    </row>
    <row r="149" spans="1:17" x14ac:dyDescent="0.25">
      <c r="A149" t="s">
        <v>11</v>
      </c>
      <c r="B149" t="s">
        <v>15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27</v>
      </c>
      <c r="P149" s="13">
        <v>2014</v>
      </c>
      <c r="Q149" s="12">
        <f>(5-WEEKDAY(financials[[#This Row],[Date]],2)+financials[[#This Row],[Date]])</f>
        <v>41887</v>
      </c>
    </row>
    <row r="150" spans="1:17" x14ac:dyDescent="0.25">
      <c r="A150" t="s">
        <v>11</v>
      </c>
      <c r="B150" t="s">
        <v>14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30</v>
      </c>
      <c r="P150" s="13">
        <v>2013</v>
      </c>
      <c r="Q150" s="12">
        <f>(5-WEEKDAY(financials[[#This Row],[Date]],2)+financials[[#This Row],[Date]])</f>
        <v>41607</v>
      </c>
    </row>
    <row r="151" spans="1:17" x14ac:dyDescent="0.25">
      <c r="A151" t="s">
        <v>10</v>
      </c>
      <c r="B151" t="s">
        <v>17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20</v>
      </c>
      <c r="P151" s="13">
        <v>2014</v>
      </c>
      <c r="Q151" s="12">
        <f>(5-WEEKDAY(financials[[#This Row],[Date]],2)+financials[[#This Row],[Date]])</f>
        <v>41670</v>
      </c>
    </row>
    <row r="152" spans="1:17" x14ac:dyDescent="0.25">
      <c r="A152" t="s">
        <v>11</v>
      </c>
      <c r="B152" t="s">
        <v>16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24</v>
      </c>
      <c r="P152" s="13">
        <v>2014</v>
      </c>
      <c r="Q152" s="12">
        <f>(5-WEEKDAY(financials[[#This Row],[Date]],2)+financials[[#This Row],[Date]])</f>
        <v>41789</v>
      </c>
    </row>
    <row r="153" spans="1:17" x14ac:dyDescent="0.25">
      <c r="A153" t="s">
        <v>10</v>
      </c>
      <c r="B153" t="s">
        <v>16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27</v>
      </c>
      <c r="P153" s="13">
        <v>2014</v>
      </c>
      <c r="Q153" s="12">
        <f>(5-WEEKDAY(financials[[#This Row],[Date]],2)+financials[[#This Row],[Date]])</f>
        <v>41887</v>
      </c>
    </row>
    <row r="154" spans="1:17" x14ac:dyDescent="0.25">
      <c r="A154" t="s">
        <v>10</v>
      </c>
      <c r="B154" t="s">
        <v>17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27</v>
      </c>
      <c r="P154" s="13">
        <v>2013</v>
      </c>
      <c r="Q154" s="12">
        <f>(5-WEEKDAY(financials[[#This Row],[Date]],2)+financials[[#This Row],[Date]])</f>
        <v>41516</v>
      </c>
    </row>
    <row r="155" spans="1:17" x14ac:dyDescent="0.25">
      <c r="A155" t="s">
        <v>9</v>
      </c>
      <c r="B155" t="s">
        <v>16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30</v>
      </c>
      <c r="P155" s="13">
        <v>2014</v>
      </c>
      <c r="Q155" s="12">
        <f>(5-WEEKDAY(financials[[#This Row],[Date]],2)+financials[[#This Row],[Date]])</f>
        <v>41978</v>
      </c>
    </row>
    <row r="156" spans="1:17" x14ac:dyDescent="0.25">
      <c r="A156" t="s">
        <v>9</v>
      </c>
      <c r="B156" t="s">
        <v>17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30</v>
      </c>
      <c r="P156" s="13">
        <v>2014</v>
      </c>
      <c r="Q156" s="12">
        <f>(5-WEEKDAY(financials[[#This Row],[Date]],2)+financials[[#This Row],[Date]])</f>
        <v>41978</v>
      </c>
    </row>
    <row r="157" spans="1:17" x14ac:dyDescent="0.25">
      <c r="A157" t="s">
        <v>7</v>
      </c>
      <c r="B157" t="s">
        <v>16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19</v>
      </c>
      <c r="P157" s="13">
        <v>2014</v>
      </c>
      <c r="Q157" s="12">
        <f>(5-WEEKDAY(financials[[#This Row],[Date]],2)+financials[[#This Row],[Date]])</f>
        <v>41642</v>
      </c>
    </row>
    <row r="158" spans="1:17" x14ac:dyDescent="0.25">
      <c r="A158" t="s">
        <v>9</v>
      </c>
      <c r="B158" t="s">
        <v>14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21</v>
      </c>
      <c r="P158" s="13">
        <v>2014</v>
      </c>
      <c r="Q158" s="12">
        <f>(5-WEEKDAY(financials[[#This Row],[Date]],2)+financials[[#This Row],[Date]])</f>
        <v>41698</v>
      </c>
    </row>
    <row r="159" spans="1:17" x14ac:dyDescent="0.25">
      <c r="A159" t="s">
        <v>11</v>
      </c>
      <c r="B159" t="s">
        <v>16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24</v>
      </c>
      <c r="P159" s="13">
        <v>2014</v>
      </c>
      <c r="Q159" s="12">
        <f>(5-WEEKDAY(financials[[#This Row],[Date]],2)+financials[[#This Row],[Date]])</f>
        <v>41789</v>
      </c>
    </row>
    <row r="160" spans="1:17" x14ac:dyDescent="0.25">
      <c r="A160" t="s">
        <v>7</v>
      </c>
      <c r="B160" t="s">
        <v>17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24</v>
      </c>
      <c r="P160" s="13">
        <v>2014</v>
      </c>
      <c r="Q160" s="12">
        <f>(5-WEEKDAY(financials[[#This Row],[Date]],2)+financials[[#This Row],[Date]])</f>
        <v>41789</v>
      </c>
    </row>
    <row r="161" spans="1:17" x14ac:dyDescent="0.25">
      <c r="A161" t="s">
        <v>9</v>
      </c>
      <c r="B161" t="s">
        <v>17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24</v>
      </c>
      <c r="P161" s="13">
        <v>2014</v>
      </c>
      <c r="Q161" s="12">
        <f>(5-WEEKDAY(financials[[#This Row],[Date]],2)+financials[[#This Row],[Date]])</f>
        <v>41789</v>
      </c>
    </row>
    <row r="162" spans="1:17" x14ac:dyDescent="0.25">
      <c r="A162" t="s">
        <v>11</v>
      </c>
      <c r="B162" t="s">
        <v>15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25</v>
      </c>
      <c r="P162" s="13">
        <v>2014</v>
      </c>
      <c r="Q162" s="12">
        <f>(5-WEEKDAY(financials[[#This Row],[Date]],2)+financials[[#This Row],[Date]])</f>
        <v>41824</v>
      </c>
    </row>
    <row r="163" spans="1:17" x14ac:dyDescent="0.25">
      <c r="A163" t="s">
        <v>9</v>
      </c>
      <c r="B163" t="s">
        <v>14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28</v>
      </c>
      <c r="P163" s="13">
        <v>2014</v>
      </c>
      <c r="Q163" s="12">
        <f>(5-WEEKDAY(financials[[#This Row],[Date]],2)+financials[[#This Row],[Date]])</f>
        <v>41915</v>
      </c>
    </row>
    <row r="164" spans="1:17" x14ac:dyDescent="0.25">
      <c r="A164" t="s">
        <v>8</v>
      </c>
      <c r="B164" t="s">
        <v>17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28</v>
      </c>
      <c r="P164" s="13">
        <v>2013</v>
      </c>
      <c r="Q164" s="12">
        <f>(5-WEEKDAY(financials[[#This Row],[Date]],2)+financials[[#This Row],[Date]])</f>
        <v>41551</v>
      </c>
    </row>
    <row r="165" spans="1:17" x14ac:dyDescent="0.25">
      <c r="A165" t="s">
        <v>9</v>
      </c>
      <c r="B165" t="s">
        <v>16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30</v>
      </c>
      <c r="P165" s="13">
        <v>2014</v>
      </c>
      <c r="Q165" s="12">
        <f>(5-WEEKDAY(financials[[#This Row],[Date]],2)+financials[[#This Row],[Date]])</f>
        <v>41978</v>
      </c>
    </row>
    <row r="166" spans="1:17" x14ac:dyDescent="0.25">
      <c r="A166" t="s">
        <v>9</v>
      </c>
      <c r="B166" t="s">
        <v>17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30</v>
      </c>
      <c r="P166" s="13">
        <v>2014</v>
      </c>
      <c r="Q166" s="12">
        <f>(5-WEEKDAY(financials[[#This Row],[Date]],2)+financials[[#This Row],[Date]])</f>
        <v>41978</v>
      </c>
    </row>
    <row r="167" spans="1:17" x14ac:dyDescent="0.25">
      <c r="A167" t="s">
        <v>9</v>
      </c>
      <c r="B167" t="s">
        <v>14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28</v>
      </c>
      <c r="P167" s="13">
        <v>2014</v>
      </c>
      <c r="Q167" s="12">
        <f>(5-WEEKDAY(financials[[#This Row],[Date]],2)+financials[[#This Row],[Date]])</f>
        <v>41915</v>
      </c>
    </row>
    <row r="168" spans="1:17" x14ac:dyDescent="0.25">
      <c r="A168" t="s">
        <v>7</v>
      </c>
      <c r="B168" t="s">
        <v>15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20</v>
      </c>
      <c r="P168" s="13">
        <v>2014</v>
      </c>
      <c r="Q168" s="12">
        <f>(5-WEEKDAY(financials[[#This Row],[Date]],2)+financials[[#This Row],[Date]])</f>
        <v>41670</v>
      </c>
    </row>
    <row r="169" spans="1:17" x14ac:dyDescent="0.25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22</v>
      </c>
      <c r="P169" s="13">
        <v>2014</v>
      </c>
      <c r="Q169" s="12">
        <f>(5-WEEKDAY(financials[[#This Row],[Date]],2)+financials[[#This Row],[Date]])</f>
        <v>41733</v>
      </c>
    </row>
    <row r="170" spans="1:17" x14ac:dyDescent="0.25">
      <c r="A170" t="s">
        <v>9</v>
      </c>
      <c r="B170" t="s">
        <v>17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24</v>
      </c>
      <c r="P170" s="13">
        <v>2014</v>
      </c>
      <c r="Q170" s="12">
        <f>(5-WEEKDAY(financials[[#This Row],[Date]],2)+financials[[#This Row],[Date]])</f>
        <v>41789</v>
      </c>
    </row>
    <row r="171" spans="1:17" x14ac:dyDescent="0.25">
      <c r="A171" t="s">
        <v>7</v>
      </c>
      <c r="B171" t="s">
        <v>14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26</v>
      </c>
      <c r="P171" s="13">
        <v>2014</v>
      </c>
      <c r="Q171" s="12">
        <f>(5-WEEKDAY(financials[[#This Row],[Date]],2)+financials[[#This Row],[Date]])</f>
        <v>41852</v>
      </c>
    </row>
    <row r="172" spans="1:17" x14ac:dyDescent="0.25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26</v>
      </c>
      <c r="P172" s="13">
        <v>2014</v>
      </c>
      <c r="Q172" s="12">
        <f>(5-WEEKDAY(financials[[#This Row],[Date]],2)+financials[[#This Row],[Date]])</f>
        <v>41852</v>
      </c>
    </row>
    <row r="173" spans="1:17" x14ac:dyDescent="0.25">
      <c r="A173" t="s">
        <v>8</v>
      </c>
      <c r="B173" t="s">
        <v>17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28</v>
      </c>
      <c r="P173" s="13">
        <v>2013</v>
      </c>
      <c r="Q173" s="12">
        <f>(5-WEEKDAY(financials[[#This Row],[Date]],2)+financials[[#This Row],[Date]])</f>
        <v>41551</v>
      </c>
    </row>
    <row r="174" spans="1:17" x14ac:dyDescent="0.25">
      <c r="A174" t="s">
        <v>10</v>
      </c>
      <c r="B174" t="s">
        <v>14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23</v>
      </c>
      <c r="P174" s="13">
        <v>2014</v>
      </c>
      <c r="Q174" s="12">
        <f>(5-WEEKDAY(financials[[#This Row],[Date]],2)+financials[[#This Row],[Date]])</f>
        <v>41761</v>
      </c>
    </row>
    <row r="175" spans="1:17" x14ac:dyDescent="0.25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27</v>
      </c>
      <c r="P175" s="13">
        <v>2013</v>
      </c>
      <c r="Q175" s="12">
        <f>(5-WEEKDAY(financials[[#This Row],[Date]],2)+financials[[#This Row],[Date]])</f>
        <v>41516</v>
      </c>
    </row>
    <row r="176" spans="1:17" x14ac:dyDescent="0.25">
      <c r="A176" t="s">
        <v>10</v>
      </c>
      <c r="B176" t="s">
        <v>14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22</v>
      </c>
      <c r="P176" s="13">
        <v>2014</v>
      </c>
      <c r="Q176" s="12">
        <f>(5-WEEKDAY(financials[[#This Row],[Date]],2)+financials[[#This Row],[Date]])</f>
        <v>41733</v>
      </c>
    </row>
    <row r="177" spans="1:17" x14ac:dyDescent="0.25">
      <c r="A177" t="s">
        <v>11</v>
      </c>
      <c r="B177" t="s">
        <v>17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19</v>
      </c>
      <c r="P177" s="13">
        <v>2014</v>
      </c>
      <c r="Q177" s="12">
        <f>(5-WEEKDAY(financials[[#This Row],[Date]],2)+financials[[#This Row],[Date]])</f>
        <v>41642</v>
      </c>
    </row>
    <row r="178" spans="1:17" x14ac:dyDescent="0.25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28</v>
      </c>
      <c r="P178" s="13">
        <v>2014</v>
      </c>
      <c r="Q178" s="12">
        <f>(5-WEEKDAY(financials[[#This Row],[Date]],2)+financials[[#This Row],[Date]])</f>
        <v>41915</v>
      </c>
    </row>
    <row r="179" spans="1:17" x14ac:dyDescent="0.25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28</v>
      </c>
      <c r="P179" s="13">
        <v>2014</v>
      </c>
      <c r="Q179" s="12">
        <f>(5-WEEKDAY(financials[[#This Row],[Date]],2)+financials[[#This Row],[Date]])</f>
        <v>41915</v>
      </c>
    </row>
    <row r="180" spans="1:17" x14ac:dyDescent="0.25">
      <c r="A180" t="s">
        <v>8</v>
      </c>
      <c r="B180" t="s">
        <v>16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30</v>
      </c>
      <c r="P180" s="13">
        <v>2013</v>
      </c>
      <c r="Q180" s="12">
        <f>(5-WEEKDAY(financials[[#This Row],[Date]],2)+financials[[#This Row],[Date]])</f>
        <v>41607</v>
      </c>
    </row>
    <row r="181" spans="1:17" x14ac:dyDescent="0.25">
      <c r="A181" t="s">
        <v>10</v>
      </c>
      <c r="B181" t="s">
        <v>15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27</v>
      </c>
      <c r="P181" s="13">
        <v>2013</v>
      </c>
      <c r="Q181" s="12">
        <f>(5-WEEKDAY(financials[[#This Row],[Date]],2)+financials[[#This Row],[Date]])</f>
        <v>41516</v>
      </c>
    </row>
    <row r="182" spans="1:17" x14ac:dyDescent="0.25">
      <c r="A182" t="s">
        <v>10</v>
      </c>
      <c r="B182" t="s">
        <v>14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28</v>
      </c>
      <c r="P182" s="13">
        <v>2013</v>
      </c>
      <c r="Q182" s="12">
        <f>(5-WEEKDAY(financials[[#This Row],[Date]],2)+financials[[#This Row],[Date]])</f>
        <v>41551</v>
      </c>
    </row>
    <row r="183" spans="1:17" x14ac:dyDescent="0.25">
      <c r="A183" t="s">
        <v>7</v>
      </c>
      <c r="B183" t="s">
        <v>17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28</v>
      </c>
      <c r="P183" s="13">
        <v>2014</v>
      </c>
      <c r="Q183" s="12">
        <f>(5-WEEKDAY(financials[[#This Row],[Date]],2)+financials[[#This Row],[Date]])</f>
        <v>41915</v>
      </c>
    </row>
    <row r="184" spans="1:17" x14ac:dyDescent="0.25">
      <c r="A184" t="s">
        <v>10</v>
      </c>
      <c r="B184" t="s">
        <v>15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30</v>
      </c>
      <c r="P184" s="13">
        <v>2014</v>
      </c>
      <c r="Q184" s="12">
        <f>(5-WEEKDAY(financials[[#This Row],[Date]],2)+financials[[#This Row],[Date]])</f>
        <v>41978</v>
      </c>
    </row>
    <row r="185" spans="1:17" x14ac:dyDescent="0.25">
      <c r="A185" t="s">
        <v>8</v>
      </c>
      <c r="B185" t="s">
        <v>14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21</v>
      </c>
      <c r="P185" s="13">
        <v>2014</v>
      </c>
      <c r="Q185" s="12">
        <f>(5-WEEKDAY(financials[[#This Row],[Date]],2)+financials[[#This Row],[Date]])</f>
        <v>41698</v>
      </c>
    </row>
    <row r="186" spans="1:17" x14ac:dyDescent="0.25">
      <c r="A186" t="s">
        <v>7</v>
      </c>
      <c r="B186" t="s">
        <v>17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26</v>
      </c>
      <c r="P186" s="13">
        <v>2014</v>
      </c>
      <c r="Q186" s="12">
        <f>(5-WEEKDAY(financials[[#This Row],[Date]],2)+financials[[#This Row],[Date]])</f>
        <v>41852</v>
      </c>
    </row>
    <row r="187" spans="1:17" x14ac:dyDescent="0.25">
      <c r="A187" t="s">
        <v>10</v>
      </c>
      <c r="B187" t="s">
        <v>14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28</v>
      </c>
      <c r="P187" s="13">
        <v>2013</v>
      </c>
      <c r="Q187" s="12">
        <f>(5-WEEKDAY(financials[[#This Row],[Date]],2)+financials[[#This Row],[Date]])</f>
        <v>41551</v>
      </c>
    </row>
    <row r="188" spans="1:17" x14ac:dyDescent="0.25">
      <c r="A188" t="s">
        <v>7</v>
      </c>
      <c r="B188" t="s">
        <v>17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28</v>
      </c>
      <c r="P188" s="13">
        <v>2014</v>
      </c>
      <c r="Q188" s="12">
        <f>(5-WEEKDAY(financials[[#This Row],[Date]],2)+financials[[#This Row],[Date]])</f>
        <v>41915</v>
      </c>
    </row>
    <row r="189" spans="1:17" x14ac:dyDescent="0.25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30</v>
      </c>
      <c r="P189" s="13">
        <v>2014</v>
      </c>
      <c r="Q189" s="12">
        <f>(5-WEEKDAY(financials[[#This Row],[Date]],2)+financials[[#This Row],[Date]])</f>
        <v>41978</v>
      </c>
    </row>
    <row r="190" spans="1:17" x14ac:dyDescent="0.25">
      <c r="A190" t="s">
        <v>10</v>
      </c>
      <c r="B190" t="s">
        <v>14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19</v>
      </c>
      <c r="P190" s="13">
        <v>2014</v>
      </c>
      <c r="Q190" s="12">
        <f>(5-WEEKDAY(financials[[#This Row],[Date]],2)+financials[[#This Row],[Date]])</f>
        <v>41642</v>
      </c>
    </row>
    <row r="191" spans="1:17" x14ac:dyDescent="0.25">
      <c r="A191" t="s">
        <v>9</v>
      </c>
      <c r="B191" t="s">
        <v>17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21</v>
      </c>
      <c r="P191" s="13">
        <v>2014</v>
      </c>
      <c r="Q191" s="12">
        <f>(5-WEEKDAY(financials[[#This Row],[Date]],2)+financials[[#This Row],[Date]])</f>
        <v>41698</v>
      </c>
    </row>
    <row r="192" spans="1:17" x14ac:dyDescent="0.25">
      <c r="A192" t="s">
        <v>7</v>
      </c>
      <c r="B192" t="s">
        <v>17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22</v>
      </c>
      <c r="P192" s="13">
        <v>2014</v>
      </c>
      <c r="Q192" s="12">
        <f>(5-WEEKDAY(financials[[#This Row],[Date]],2)+financials[[#This Row],[Date]])</f>
        <v>41733</v>
      </c>
    </row>
    <row r="193" spans="1:17" x14ac:dyDescent="0.25">
      <c r="A193" t="s">
        <v>7</v>
      </c>
      <c r="B193" t="s">
        <v>15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23</v>
      </c>
      <c r="P193" s="13">
        <v>2014</v>
      </c>
      <c r="Q193" s="12">
        <f>(5-WEEKDAY(financials[[#This Row],[Date]],2)+financials[[#This Row],[Date]])</f>
        <v>41761</v>
      </c>
    </row>
    <row r="194" spans="1:17" x14ac:dyDescent="0.25">
      <c r="A194" t="s">
        <v>10</v>
      </c>
      <c r="B194" t="s">
        <v>15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25</v>
      </c>
      <c r="P194" s="13">
        <v>2014</v>
      </c>
      <c r="Q194" s="12">
        <f>(5-WEEKDAY(financials[[#This Row],[Date]],2)+financials[[#This Row],[Date]])</f>
        <v>41824</v>
      </c>
    </row>
    <row r="195" spans="1:17" x14ac:dyDescent="0.25">
      <c r="A195" t="s">
        <v>9</v>
      </c>
      <c r="B195" t="s">
        <v>16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25</v>
      </c>
      <c r="P195" s="13">
        <v>2014</v>
      </c>
      <c r="Q195" s="12">
        <f>(5-WEEKDAY(financials[[#This Row],[Date]],2)+financials[[#This Row],[Date]])</f>
        <v>41824</v>
      </c>
    </row>
    <row r="196" spans="1:17" x14ac:dyDescent="0.25">
      <c r="A196" t="s">
        <v>8</v>
      </c>
      <c r="B196" t="s">
        <v>14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27</v>
      </c>
      <c r="P196" s="13">
        <v>2014</v>
      </c>
      <c r="Q196" s="12">
        <f>(5-WEEKDAY(financials[[#This Row],[Date]],2)+financials[[#This Row],[Date]])</f>
        <v>41887</v>
      </c>
    </row>
    <row r="197" spans="1:17" x14ac:dyDescent="0.25">
      <c r="A197" t="s">
        <v>10</v>
      </c>
      <c r="B197" t="s">
        <v>14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27</v>
      </c>
      <c r="P197" s="13">
        <v>2014</v>
      </c>
      <c r="Q197" s="12">
        <f>(5-WEEKDAY(financials[[#This Row],[Date]],2)+financials[[#This Row],[Date]])</f>
        <v>41887</v>
      </c>
    </row>
    <row r="198" spans="1:17" x14ac:dyDescent="0.25">
      <c r="A198" t="s">
        <v>10</v>
      </c>
      <c r="B198" t="s">
        <v>15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27</v>
      </c>
      <c r="P198" s="13">
        <v>2014</v>
      </c>
      <c r="Q198" s="12">
        <f>(5-WEEKDAY(financials[[#This Row],[Date]],2)+financials[[#This Row],[Date]])</f>
        <v>41887</v>
      </c>
    </row>
    <row r="199" spans="1:17" x14ac:dyDescent="0.25">
      <c r="A199" t="s">
        <v>8</v>
      </c>
      <c r="B199" t="s">
        <v>15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28</v>
      </c>
      <c r="P199" s="13">
        <v>2013</v>
      </c>
      <c r="Q199" s="12">
        <f>(5-WEEKDAY(financials[[#This Row],[Date]],2)+financials[[#This Row],[Date]])</f>
        <v>41551</v>
      </c>
    </row>
    <row r="200" spans="1:17" x14ac:dyDescent="0.25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28</v>
      </c>
      <c r="P200" s="13">
        <v>2013</v>
      </c>
      <c r="Q200" s="12">
        <f>(5-WEEKDAY(financials[[#This Row],[Date]],2)+financials[[#This Row],[Date]])</f>
        <v>41551</v>
      </c>
    </row>
    <row r="201" spans="1:17" x14ac:dyDescent="0.25">
      <c r="A201" t="s">
        <v>10</v>
      </c>
      <c r="B201" t="s">
        <v>15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30</v>
      </c>
      <c r="P201" s="13">
        <v>2014</v>
      </c>
      <c r="Q201" s="12">
        <f>(5-WEEKDAY(financials[[#This Row],[Date]],2)+financials[[#This Row],[Date]])</f>
        <v>41978</v>
      </c>
    </row>
    <row r="202" spans="1:17" x14ac:dyDescent="0.25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30</v>
      </c>
      <c r="P202" s="13">
        <v>2014</v>
      </c>
      <c r="Q202" s="12">
        <f>(5-WEEKDAY(financials[[#This Row],[Date]],2)+financials[[#This Row],[Date]])</f>
        <v>41978</v>
      </c>
    </row>
    <row r="203" spans="1:17" x14ac:dyDescent="0.25">
      <c r="A203" t="s">
        <v>11</v>
      </c>
      <c r="B203" t="s">
        <v>15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21</v>
      </c>
      <c r="P203" s="13">
        <v>2014</v>
      </c>
      <c r="Q203" s="12">
        <f>(5-WEEKDAY(financials[[#This Row],[Date]],2)+financials[[#This Row],[Date]])</f>
        <v>41698</v>
      </c>
    </row>
    <row r="204" spans="1:17" x14ac:dyDescent="0.25">
      <c r="A204" t="s">
        <v>10</v>
      </c>
      <c r="B204" t="s">
        <v>14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27</v>
      </c>
      <c r="P204" s="13">
        <v>2013</v>
      </c>
      <c r="Q204" s="12">
        <f>(5-WEEKDAY(financials[[#This Row],[Date]],2)+financials[[#This Row],[Date]])</f>
        <v>41516</v>
      </c>
    </row>
    <row r="205" spans="1:17" x14ac:dyDescent="0.25">
      <c r="A205" t="s">
        <v>10</v>
      </c>
      <c r="B205" t="s">
        <v>16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28</v>
      </c>
      <c r="P205" s="13">
        <v>2014</v>
      </c>
      <c r="Q205" s="12">
        <f>(5-WEEKDAY(financials[[#This Row],[Date]],2)+financials[[#This Row],[Date]])</f>
        <v>41915</v>
      </c>
    </row>
    <row r="206" spans="1:17" x14ac:dyDescent="0.25">
      <c r="A206" t="s">
        <v>11</v>
      </c>
      <c r="B206" t="s">
        <v>16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23</v>
      </c>
      <c r="P206" s="13">
        <v>2014</v>
      </c>
      <c r="Q206" s="12">
        <f>(5-WEEKDAY(financials[[#This Row],[Date]],2)+financials[[#This Row],[Date]])</f>
        <v>41761</v>
      </c>
    </row>
    <row r="207" spans="1:17" x14ac:dyDescent="0.25">
      <c r="A207" t="s">
        <v>10</v>
      </c>
      <c r="B207" t="s">
        <v>15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27</v>
      </c>
      <c r="P207" s="13">
        <v>2013</v>
      </c>
      <c r="Q207" s="12">
        <f>(5-WEEKDAY(financials[[#This Row],[Date]],2)+financials[[#This Row],[Date]])</f>
        <v>41516</v>
      </c>
    </row>
    <row r="208" spans="1:17" x14ac:dyDescent="0.25">
      <c r="A208" t="s">
        <v>10</v>
      </c>
      <c r="B208" t="s">
        <v>16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28</v>
      </c>
      <c r="P208" s="13">
        <v>2014</v>
      </c>
      <c r="Q208" s="12">
        <f>(5-WEEKDAY(financials[[#This Row],[Date]],2)+financials[[#This Row],[Date]])</f>
        <v>41915</v>
      </c>
    </row>
    <row r="209" spans="1:17" x14ac:dyDescent="0.25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28</v>
      </c>
      <c r="P209" s="13">
        <v>2013</v>
      </c>
      <c r="Q209" s="12">
        <f>(5-WEEKDAY(financials[[#This Row],[Date]],2)+financials[[#This Row],[Date]])</f>
        <v>41551</v>
      </c>
    </row>
    <row r="210" spans="1:17" x14ac:dyDescent="0.25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20</v>
      </c>
      <c r="P210" s="13">
        <v>2014</v>
      </c>
      <c r="Q210" s="12">
        <f>(5-WEEKDAY(financials[[#This Row],[Date]],2)+financials[[#This Row],[Date]])</f>
        <v>41670</v>
      </c>
    </row>
    <row r="211" spans="1:17" x14ac:dyDescent="0.25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22</v>
      </c>
      <c r="P211" s="13">
        <v>2014</v>
      </c>
      <c r="Q211" s="12">
        <f>(5-WEEKDAY(financials[[#This Row],[Date]],2)+financials[[#This Row],[Date]])</f>
        <v>41733</v>
      </c>
    </row>
    <row r="212" spans="1:17" x14ac:dyDescent="0.25">
      <c r="A212" t="s">
        <v>10</v>
      </c>
      <c r="B212" t="s">
        <v>17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27</v>
      </c>
      <c r="P212" s="13">
        <v>2014</v>
      </c>
      <c r="Q212" s="12">
        <f>(5-WEEKDAY(financials[[#This Row],[Date]],2)+financials[[#This Row],[Date]])</f>
        <v>41887</v>
      </c>
    </row>
    <row r="213" spans="1:17" x14ac:dyDescent="0.25">
      <c r="A213" t="s">
        <v>8</v>
      </c>
      <c r="B213" t="s">
        <v>15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28</v>
      </c>
      <c r="P213" s="13">
        <v>2013</v>
      </c>
      <c r="Q213" s="12">
        <f>(5-WEEKDAY(financials[[#This Row],[Date]],2)+financials[[#This Row],[Date]])</f>
        <v>41551</v>
      </c>
    </row>
    <row r="214" spans="1:17" x14ac:dyDescent="0.25">
      <c r="A214" t="s">
        <v>10</v>
      </c>
      <c r="B214" t="s">
        <v>14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30</v>
      </c>
      <c r="P214" s="13">
        <v>2013</v>
      </c>
      <c r="Q214" s="12">
        <f>(5-WEEKDAY(financials[[#This Row],[Date]],2)+financials[[#This Row],[Date]])</f>
        <v>41607</v>
      </c>
    </row>
    <row r="215" spans="1:17" x14ac:dyDescent="0.25">
      <c r="A215" t="s">
        <v>10</v>
      </c>
      <c r="B215" t="s">
        <v>17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28</v>
      </c>
      <c r="P215" s="13">
        <v>2013</v>
      </c>
      <c r="Q215" s="12">
        <f>(5-WEEKDAY(financials[[#This Row],[Date]],2)+financials[[#This Row],[Date]])</f>
        <v>41551</v>
      </c>
    </row>
    <row r="216" spans="1:17" x14ac:dyDescent="0.25">
      <c r="A216" t="s">
        <v>10</v>
      </c>
      <c r="B216" t="s">
        <v>17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19</v>
      </c>
      <c r="P216" s="13">
        <v>2014</v>
      </c>
      <c r="Q216" s="12">
        <f>(5-WEEKDAY(financials[[#This Row],[Date]],2)+financials[[#This Row],[Date]])</f>
        <v>41642</v>
      </c>
    </row>
    <row r="217" spans="1:17" x14ac:dyDescent="0.25">
      <c r="A217" t="s">
        <v>10</v>
      </c>
      <c r="B217" t="s">
        <v>14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27</v>
      </c>
      <c r="P217" s="13">
        <v>2013</v>
      </c>
      <c r="Q217" s="12">
        <f>(5-WEEKDAY(financials[[#This Row],[Date]],2)+financials[[#This Row],[Date]])</f>
        <v>41516</v>
      </c>
    </row>
    <row r="218" spans="1:17" x14ac:dyDescent="0.25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28</v>
      </c>
      <c r="P218" s="13">
        <v>2014</v>
      </c>
      <c r="Q218" s="12">
        <f>(5-WEEKDAY(financials[[#This Row],[Date]],2)+financials[[#This Row],[Date]])</f>
        <v>41915</v>
      </c>
    </row>
    <row r="219" spans="1:17" x14ac:dyDescent="0.25">
      <c r="A219" t="s">
        <v>11</v>
      </c>
      <c r="B219" t="s">
        <v>14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30</v>
      </c>
      <c r="P219" s="13">
        <v>2014</v>
      </c>
      <c r="Q219" s="12">
        <f>(5-WEEKDAY(financials[[#This Row],[Date]],2)+financials[[#This Row],[Date]])</f>
        <v>41978</v>
      </c>
    </row>
    <row r="220" spans="1:17" x14ac:dyDescent="0.25">
      <c r="A220" t="s">
        <v>11</v>
      </c>
      <c r="B220" t="s">
        <v>14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30</v>
      </c>
      <c r="P220" s="13">
        <v>2014</v>
      </c>
      <c r="Q220" s="12">
        <f>(5-WEEKDAY(financials[[#This Row],[Date]],2)+financials[[#This Row],[Date]])</f>
        <v>41978</v>
      </c>
    </row>
    <row r="221" spans="1:17" x14ac:dyDescent="0.25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28</v>
      </c>
      <c r="P221" s="13">
        <v>2014</v>
      </c>
      <c r="Q221" s="12">
        <f>(5-WEEKDAY(financials[[#This Row],[Date]],2)+financials[[#This Row],[Date]])</f>
        <v>41915</v>
      </c>
    </row>
    <row r="222" spans="1:17" x14ac:dyDescent="0.25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25</v>
      </c>
      <c r="P222" s="13">
        <v>2014</v>
      </c>
      <c r="Q222" s="12">
        <f>(5-WEEKDAY(financials[[#This Row],[Date]],2)+financials[[#This Row],[Date]])</f>
        <v>41824</v>
      </c>
    </row>
    <row r="223" spans="1:17" x14ac:dyDescent="0.25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26</v>
      </c>
      <c r="P223" s="13">
        <v>2014</v>
      </c>
      <c r="Q223" s="12">
        <f>(5-WEEKDAY(financials[[#This Row],[Date]],2)+financials[[#This Row],[Date]])</f>
        <v>41852</v>
      </c>
    </row>
    <row r="224" spans="1:17" x14ac:dyDescent="0.25">
      <c r="A224" t="s">
        <v>10</v>
      </c>
      <c r="B224" t="s">
        <v>17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28</v>
      </c>
      <c r="P224" s="13">
        <v>2013</v>
      </c>
      <c r="Q224" s="12">
        <f>(5-WEEKDAY(financials[[#This Row],[Date]],2)+financials[[#This Row],[Date]])</f>
        <v>41551</v>
      </c>
    </row>
    <row r="225" spans="1:17" x14ac:dyDescent="0.25">
      <c r="A225" t="s">
        <v>11</v>
      </c>
      <c r="B225" t="s">
        <v>16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20</v>
      </c>
      <c r="P225" s="13">
        <v>2014</v>
      </c>
      <c r="Q225" s="12">
        <f>(5-WEEKDAY(financials[[#This Row],[Date]],2)+financials[[#This Row],[Date]])</f>
        <v>41670</v>
      </c>
    </row>
    <row r="226" spans="1:17" x14ac:dyDescent="0.25">
      <c r="A226" t="s">
        <v>11</v>
      </c>
      <c r="B226" t="s">
        <v>17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20</v>
      </c>
      <c r="P226" s="13">
        <v>2014</v>
      </c>
      <c r="Q226" s="12">
        <f>(5-WEEKDAY(financials[[#This Row],[Date]],2)+financials[[#This Row],[Date]])</f>
        <v>41670</v>
      </c>
    </row>
    <row r="227" spans="1:17" x14ac:dyDescent="0.25">
      <c r="A227" t="s">
        <v>10</v>
      </c>
      <c r="B227" t="s">
        <v>16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23</v>
      </c>
      <c r="P227" s="13">
        <v>2014</v>
      </c>
      <c r="Q227" s="12">
        <f>(5-WEEKDAY(financials[[#This Row],[Date]],2)+financials[[#This Row],[Date]])</f>
        <v>41761</v>
      </c>
    </row>
    <row r="228" spans="1:17" x14ac:dyDescent="0.25">
      <c r="A228" t="s">
        <v>7</v>
      </c>
      <c r="B228" t="s">
        <v>15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24</v>
      </c>
      <c r="P228" s="13">
        <v>2014</v>
      </c>
      <c r="Q228" s="12">
        <f>(5-WEEKDAY(financials[[#This Row],[Date]],2)+financials[[#This Row],[Date]])</f>
        <v>41789</v>
      </c>
    </row>
    <row r="229" spans="1:17" x14ac:dyDescent="0.25">
      <c r="A229" t="s">
        <v>10</v>
      </c>
      <c r="B229" t="s">
        <v>17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29</v>
      </c>
      <c r="P229" s="13">
        <v>2013</v>
      </c>
      <c r="Q229" s="12">
        <f>(5-WEEKDAY(financials[[#This Row],[Date]],2)+financials[[#This Row],[Date]])</f>
        <v>41579</v>
      </c>
    </row>
    <row r="230" spans="1:17" x14ac:dyDescent="0.25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29</v>
      </c>
      <c r="P230" s="13">
        <v>2014</v>
      </c>
      <c r="Q230" s="12">
        <f>(5-WEEKDAY(financials[[#This Row],[Date]],2)+financials[[#This Row],[Date]])</f>
        <v>41943</v>
      </c>
    </row>
    <row r="231" spans="1:17" x14ac:dyDescent="0.25">
      <c r="A231" t="s">
        <v>10</v>
      </c>
      <c r="B231" t="s">
        <v>15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30</v>
      </c>
      <c r="P231" s="13">
        <v>2014</v>
      </c>
      <c r="Q231" s="12">
        <f>(5-WEEKDAY(financials[[#This Row],[Date]],2)+financials[[#This Row],[Date]])</f>
        <v>41978</v>
      </c>
    </row>
    <row r="232" spans="1:17" x14ac:dyDescent="0.25">
      <c r="A232" t="s">
        <v>10</v>
      </c>
      <c r="B232" t="s">
        <v>16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30</v>
      </c>
      <c r="P232" s="13">
        <v>2014</v>
      </c>
      <c r="Q232" s="12">
        <f>(5-WEEKDAY(financials[[#This Row],[Date]],2)+financials[[#This Row],[Date]])</f>
        <v>41978</v>
      </c>
    </row>
    <row r="233" spans="1:17" x14ac:dyDescent="0.25">
      <c r="A233" t="s">
        <v>10</v>
      </c>
      <c r="B233" t="s">
        <v>16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19</v>
      </c>
      <c r="P233" s="13">
        <v>2014</v>
      </c>
      <c r="Q233" s="12">
        <f>(5-WEEKDAY(financials[[#This Row],[Date]],2)+financials[[#This Row],[Date]])</f>
        <v>41642</v>
      </c>
    </row>
    <row r="234" spans="1:17" x14ac:dyDescent="0.25">
      <c r="A234" t="s">
        <v>9</v>
      </c>
      <c r="B234" t="s">
        <v>15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25</v>
      </c>
      <c r="P234" s="13">
        <v>2014</v>
      </c>
      <c r="Q234" s="12">
        <f>(5-WEEKDAY(financials[[#This Row],[Date]],2)+financials[[#This Row],[Date]])</f>
        <v>41824</v>
      </c>
    </row>
    <row r="235" spans="1:17" x14ac:dyDescent="0.25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27</v>
      </c>
      <c r="P235" s="13">
        <v>2013</v>
      </c>
      <c r="Q235" s="12">
        <f>(5-WEEKDAY(financials[[#This Row],[Date]],2)+financials[[#This Row],[Date]])</f>
        <v>41516</v>
      </c>
    </row>
    <row r="236" spans="1:17" x14ac:dyDescent="0.25">
      <c r="A236" t="s">
        <v>11</v>
      </c>
      <c r="B236" t="s">
        <v>17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29</v>
      </c>
      <c r="P236" s="13">
        <v>2014</v>
      </c>
      <c r="Q236" s="12">
        <f>(5-WEEKDAY(financials[[#This Row],[Date]],2)+financials[[#This Row],[Date]])</f>
        <v>41943</v>
      </c>
    </row>
    <row r="237" spans="1:17" x14ac:dyDescent="0.25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30</v>
      </c>
      <c r="P237" s="13">
        <v>2013</v>
      </c>
      <c r="Q237" s="12">
        <f>(5-WEEKDAY(financials[[#This Row],[Date]],2)+financials[[#This Row],[Date]])</f>
        <v>41607</v>
      </c>
    </row>
    <row r="238" spans="1:17" x14ac:dyDescent="0.25">
      <c r="A238" t="s">
        <v>10</v>
      </c>
      <c r="B238" t="s">
        <v>16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20</v>
      </c>
      <c r="P238" s="13">
        <v>2014</v>
      </c>
      <c r="Q238" s="12">
        <f>(5-WEEKDAY(financials[[#This Row],[Date]],2)+financials[[#This Row],[Date]])</f>
        <v>41670</v>
      </c>
    </row>
    <row r="239" spans="1:17" x14ac:dyDescent="0.25">
      <c r="A239" t="s">
        <v>9</v>
      </c>
      <c r="B239" t="s">
        <v>15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21</v>
      </c>
      <c r="P239" s="13">
        <v>2014</v>
      </c>
      <c r="Q239" s="12">
        <f>(5-WEEKDAY(financials[[#This Row],[Date]],2)+financials[[#This Row],[Date]])</f>
        <v>41698</v>
      </c>
    </row>
    <row r="240" spans="1:17" x14ac:dyDescent="0.25">
      <c r="A240" t="s">
        <v>9</v>
      </c>
      <c r="B240" t="s">
        <v>16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21</v>
      </c>
      <c r="P240" s="13">
        <v>2014</v>
      </c>
      <c r="Q240" s="12">
        <f>(5-WEEKDAY(financials[[#This Row],[Date]],2)+financials[[#This Row],[Date]])</f>
        <v>41698</v>
      </c>
    </row>
    <row r="241" spans="1:17" x14ac:dyDescent="0.25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22</v>
      </c>
      <c r="P241" s="13">
        <v>2014</v>
      </c>
      <c r="Q241" s="12">
        <f>(5-WEEKDAY(financials[[#This Row],[Date]],2)+financials[[#This Row],[Date]])</f>
        <v>41733</v>
      </c>
    </row>
    <row r="242" spans="1:17" x14ac:dyDescent="0.25">
      <c r="A242" t="s">
        <v>10</v>
      </c>
      <c r="B242" t="s">
        <v>15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23</v>
      </c>
      <c r="P242" s="13">
        <v>2014</v>
      </c>
      <c r="Q242" s="12">
        <f>(5-WEEKDAY(financials[[#This Row],[Date]],2)+financials[[#This Row],[Date]])</f>
        <v>41761</v>
      </c>
    </row>
    <row r="243" spans="1:17" x14ac:dyDescent="0.25">
      <c r="A243" t="s">
        <v>7</v>
      </c>
      <c r="B243" t="s">
        <v>15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24</v>
      </c>
      <c r="P243" s="13">
        <v>2014</v>
      </c>
      <c r="Q243" s="12">
        <f>(5-WEEKDAY(financials[[#This Row],[Date]],2)+financials[[#This Row],[Date]])</f>
        <v>41789</v>
      </c>
    </row>
    <row r="244" spans="1:17" x14ac:dyDescent="0.25">
      <c r="A244" t="s">
        <v>10</v>
      </c>
      <c r="B244" t="s">
        <v>15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24</v>
      </c>
      <c r="P244" s="13">
        <v>2014</v>
      </c>
      <c r="Q244" s="12">
        <f>(5-WEEKDAY(financials[[#This Row],[Date]],2)+financials[[#This Row],[Date]])</f>
        <v>41789</v>
      </c>
    </row>
    <row r="245" spans="1:17" x14ac:dyDescent="0.25">
      <c r="A245" t="s">
        <v>8</v>
      </c>
      <c r="B245" t="s">
        <v>16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27</v>
      </c>
      <c r="P245" s="13">
        <v>2014</v>
      </c>
      <c r="Q245" s="12">
        <f>(5-WEEKDAY(financials[[#This Row],[Date]],2)+financials[[#This Row],[Date]])</f>
        <v>41887</v>
      </c>
    </row>
    <row r="246" spans="1:17" x14ac:dyDescent="0.25">
      <c r="A246" t="s">
        <v>10</v>
      </c>
      <c r="B246" t="s">
        <v>14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28</v>
      </c>
      <c r="P246" s="13">
        <v>2013</v>
      </c>
      <c r="Q246" s="12">
        <f>(5-WEEKDAY(financials[[#This Row],[Date]],2)+financials[[#This Row],[Date]])</f>
        <v>41551</v>
      </c>
    </row>
    <row r="247" spans="1:17" x14ac:dyDescent="0.25">
      <c r="A247" t="s">
        <v>10</v>
      </c>
      <c r="B247" t="s">
        <v>14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28</v>
      </c>
      <c r="P247" s="13">
        <v>2013</v>
      </c>
      <c r="Q247" s="12">
        <f>(5-WEEKDAY(financials[[#This Row],[Date]],2)+financials[[#This Row],[Date]])</f>
        <v>41551</v>
      </c>
    </row>
    <row r="248" spans="1:17" x14ac:dyDescent="0.25">
      <c r="A248" t="s">
        <v>9</v>
      </c>
      <c r="B248" t="s">
        <v>15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28</v>
      </c>
      <c r="P248" s="13">
        <v>2014</v>
      </c>
      <c r="Q248" s="12">
        <f>(5-WEEKDAY(financials[[#This Row],[Date]],2)+financials[[#This Row],[Date]])</f>
        <v>41915</v>
      </c>
    </row>
    <row r="249" spans="1:17" x14ac:dyDescent="0.25">
      <c r="A249" t="s">
        <v>9</v>
      </c>
      <c r="B249" t="s">
        <v>16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28</v>
      </c>
      <c r="P249" s="13">
        <v>2013</v>
      </c>
      <c r="Q249" s="12">
        <f>(5-WEEKDAY(financials[[#This Row],[Date]],2)+financials[[#This Row],[Date]])</f>
        <v>41551</v>
      </c>
    </row>
    <row r="250" spans="1:17" x14ac:dyDescent="0.25">
      <c r="A250" t="s">
        <v>10</v>
      </c>
      <c r="B250" t="s">
        <v>14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30</v>
      </c>
      <c r="P250" s="13">
        <v>2013</v>
      </c>
      <c r="Q250" s="12">
        <f>(5-WEEKDAY(financials[[#This Row],[Date]],2)+financials[[#This Row],[Date]])</f>
        <v>41607</v>
      </c>
    </row>
    <row r="251" spans="1:17" x14ac:dyDescent="0.25">
      <c r="A251" t="s">
        <v>10</v>
      </c>
      <c r="B251" t="s">
        <v>15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30</v>
      </c>
      <c r="P251" s="13">
        <v>2014</v>
      </c>
      <c r="Q251" s="12">
        <f>(5-WEEKDAY(financials[[#This Row],[Date]],2)+financials[[#This Row],[Date]])</f>
        <v>41978</v>
      </c>
    </row>
    <row r="252" spans="1:17" x14ac:dyDescent="0.25">
      <c r="A252" t="s">
        <v>10</v>
      </c>
      <c r="B252" t="s">
        <v>16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30</v>
      </c>
      <c r="P252" s="13">
        <v>2013</v>
      </c>
      <c r="Q252" s="12">
        <f>(5-WEEKDAY(financials[[#This Row],[Date]],2)+financials[[#This Row],[Date]])</f>
        <v>41607</v>
      </c>
    </row>
    <row r="253" spans="1:17" x14ac:dyDescent="0.25">
      <c r="A253" t="s">
        <v>8</v>
      </c>
      <c r="B253" t="s">
        <v>17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30</v>
      </c>
      <c r="P253" s="13">
        <v>2013</v>
      </c>
      <c r="Q253" s="12">
        <f>(5-WEEKDAY(financials[[#This Row],[Date]],2)+financials[[#This Row],[Date]])</f>
        <v>41607</v>
      </c>
    </row>
    <row r="254" spans="1:17" x14ac:dyDescent="0.25">
      <c r="A254" t="s">
        <v>8</v>
      </c>
      <c r="B254" t="s">
        <v>15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19</v>
      </c>
      <c r="P254" s="13">
        <v>2014</v>
      </c>
      <c r="Q254" s="12">
        <f>(5-WEEKDAY(financials[[#This Row],[Date]],2)+financials[[#This Row],[Date]])</f>
        <v>41642</v>
      </c>
    </row>
    <row r="255" spans="1:17" x14ac:dyDescent="0.25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19</v>
      </c>
      <c r="P255" s="13">
        <v>2014</v>
      </c>
      <c r="Q255" s="12">
        <f>(5-WEEKDAY(financials[[#This Row],[Date]],2)+financials[[#This Row],[Date]])</f>
        <v>41642</v>
      </c>
    </row>
    <row r="256" spans="1:17" x14ac:dyDescent="0.25">
      <c r="A256" t="s">
        <v>9</v>
      </c>
      <c r="B256" t="s">
        <v>17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20</v>
      </c>
      <c r="P256" s="13">
        <v>2014</v>
      </c>
      <c r="Q256" s="12">
        <f>(5-WEEKDAY(financials[[#This Row],[Date]],2)+financials[[#This Row],[Date]])</f>
        <v>41670</v>
      </c>
    </row>
    <row r="257" spans="1:17" x14ac:dyDescent="0.25">
      <c r="A257" t="s">
        <v>10</v>
      </c>
      <c r="B257" t="s">
        <v>15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24</v>
      </c>
      <c r="P257" s="13">
        <v>2014</v>
      </c>
      <c r="Q257" s="12">
        <f>(5-WEEKDAY(financials[[#This Row],[Date]],2)+financials[[#This Row],[Date]])</f>
        <v>41789</v>
      </c>
    </row>
    <row r="258" spans="1:17" x14ac:dyDescent="0.25">
      <c r="A258" t="s">
        <v>10</v>
      </c>
      <c r="B258" t="s">
        <v>15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26</v>
      </c>
      <c r="P258" s="13">
        <v>2014</v>
      </c>
      <c r="Q258" s="12">
        <f>(5-WEEKDAY(financials[[#This Row],[Date]],2)+financials[[#This Row],[Date]])</f>
        <v>41852</v>
      </c>
    </row>
    <row r="259" spans="1:17" x14ac:dyDescent="0.25">
      <c r="A259" t="s">
        <v>10</v>
      </c>
      <c r="B259" t="s">
        <v>16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26</v>
      </c>
      <c r="P259" s="13">
        <v>2014</v>
      </c>
      <c r="Q259" s="12">
        <f>(5-WEEKDAY(financials[[#This Row],[Date]],2)+financials[[#This Row],[Date]])</f>
        <v>41852</v>
      </c>
    </row>
    <row r="260" spans="1:17" x14ac:dyDescent="0.25">
      <c r="A260" t="s">
        <v>9</v>
      </c>
      <c r="B260" t="s">
        <v>15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28</v>
      </c>
      <c r="P260" s="13">
        <v>2014</v>
      </c>
      <c r="Q260" s="12">
        <f>(5-WEEKDAY(financials[[#This Row],[Date]],2)+financials[[#This Row],[Date]])</f>
        <v>41915</v>
      </c>
    </row>
    <row r="261" spans="1:17" x14ac:dyDescent="0.25">
      <c r="A261" t="s">
        <v>9</v>
      </c>
      <c r="B261" t="s">
        <v>16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28</v>
      </c>
      <c r="P261" s="13">
        <v>2013</v>
      </c>
      <c r="Q261" s="12">
        <f>(5-WEEKDAY(financials[[#This Row],[Date]],2)+financials[[#This Row],[Date]])</f>
        <v>41551</v>
      </c>
    </row>
    <row r="262" spans="1:17" x14ac:dyDescent="0.25">
      <c r="A262" t="s">
        <v>10</v>
      </c>
      <c r="B262" t="s">
        <v>16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30</v>
      </c>
      <c r="P262" s="13">
        <v>2013</v>
      </c>
      <c r="Q262" s="12">
        <f>(5-WEEKDAY(financials[[#This Row],[Date]],2)+financials[[#This Row],[Date]])</f>
        <v>41607</v>
      </c>
    </row>
    <row r="263" spans="1:17" x14ac:dyDescent="0.25">
      <c r="A263" t="s">
        <v>7</v>
      </c>
      <c r="B263" t="s">
        <v>17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30</v>
      </c>
      <c r="P263" s="13">
        <v>2014</v>
      </c>
      <c r="Q263" s="12">
        <f>(5-WEEKDAY(financials[[#This Row],[Date]],2)+financials[[#This Row],[Date]])</f>
        <v>41978</v>
      </c>
    </row>
    <row r="264" spans="1:17" x14ac:dyDescent="0.25">
      <c r="A264" t="s">
        <v>10</v>
      </c>
      <c r="B264" t="s">
        <v>14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28</v>
      </c>
      <c r="P264" s="13">
        <v>2013</v>
      </c>
      <c r="Q264" s="12">
        <f>(5-WEEKDAY(financials[[#This Row],[Date]],2)+financials[[#This Row],[Date]])</f>
        <v>41551</v>
      </c>
    </row>
    <row r="265" spans="1:17" x14ac:dyDescent="0.25">
      <c r="A265" t="s">
        <v>10</v>
      </c>
      <c r="B265" t="s">
        <v>15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29</v>
      </c>
      <c r="P265" s="13">
        <v>2013</v>
      </c>
      <c r="Q265" s="12">
        <f>(5-WEEKDAY(financials[[#This Row],[Date]],2)+financials[[#This Row],[Date]])</f>
        <v>41579</v>
      </c>
    </row>
    <row r="266" spans="1:17" x14ac:dyDescent="0.25">
      <c r="A266" t="s">
        <v>10</v>
      </c>
      <c r="B266" t="s">
        <v>17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29</v>
      </c>
      <c r="P266" s="13">
        <v>2013</v>
      </c>
      <c r="Q266" s="12">
        <f>(5-WEEKDAY(financials[[#This Row],[Date]],2)+financials[[#This Row],[Date]])</f>
        <v>41579</v>
      </c>
    </row>
    <row r="267" spans="1:17" x14ac:dyDescent="0.25">
      <c r="A267" t="s">
        <v>10</v>
      </c>
      <c r="B267" t="s">
        <v>15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30</v>
      </c>
      <c r="P267" s="13">
        <v>2014</v>
      </c>
      <c r="Q267" s="12">
        <f>(5-WEEKDAY(financials[[#This Row],[Date]],2)+financials[[#This Row],[Date]])</f>
        <v>41978</v>
      </c>
    </row>
    <row r="268" spans="1:17" x14ac:dyDescent="0.25">
      <c r="A268" t="s">
        <v>10</v>
      </c>
      <c r="B268" t="s">
        <v>15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30</v>
      </c>
      <c r="P268" s="13">
        <v>2014</v>
      </c>
      <c r="Q268" s="12">
        <f>(5-WEEKDAY(financials[[#This Row],[Date]],2)+financials[[#This Row],[Date]])</f>
        <v>41978</v>
      </c>
    </row>
    <row r="269" spans="1:17" x14ac:dyDescent="0.25">
      <c r="A269" t="s">
        <v>10</v>
      </c>
      <c r="B269" t="s">
        <v>16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30</v>
      </c>
      <c r="P269" s="13">
        <v>2014</v>
      </c>
      <c r="Q269" s="12">
        <f>(5-WEEKDAY(financials[[#This Row],[Date]],2)+financials[[#This Row],[Date]])</f>
        <v>41978</v>
      </c>
    </row>
    <row r="270" spans="1:17" x14ac:dyDescent="0.25">
      <c r="A270" t="s">
        <v>10</v>
      </c>
      <c r="B270" t="s">
        <v>17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20</v>
      </c>
      <c r="P270" s="13">
        <v>2014</v>
      </c>
      <c r="Q270" s="12">
        <f>(5-WEEKDAY(financials[[#This Row],[Date]],2)+financials[[#This Row],[Date]])</f>
        <v>41670</v>
      </c>
    </row>
    <row r="271" spans="1:17" x14ac:dyDescent="0.25">
      <c r="A271" t="s">
        <v>10</v>
      </c>
      <c r="B271" t="s">
        <v>14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26</v>
      </c>
      <c r="P271" s="13">
        <v>2014</v>
      </c>
      <c r="Q271" s="12">
        <f>(5-WEEKDAY(financials[[#This Row],[Date]],2)+financials[[#This Row],[Date]])</f>
        <v>41852</v>
      </c>
    </row>
    <row r="272" spans="1:17" x14ac:dyDescent="0.25">
      <c r="A272" t="s">
        <v>10</v>
      </c>
      <c r="B272" t="s">
        <v>14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28</v>
      </c>
      <c r="P272" s="13">
        <v>2013</v>
      </c>
      <c r="Q272" s="12">
        <f>(5-WEEKDAY(financials[[#This Row],[Date]],2)+financials[[#This Row],[Date]])</f>
        <v>41551</v>
      </c>
    </row>
    <row r="273" spans="1:17" x14ac:dyDescent="0.25">
      <c r="A273" t="s">
        <v>7</v>
      </c>
      <c r="B273" t="s">
        <v>17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30</v>
      </c>
      <c r="P273" s="13">
        <v>2014</v>
      </c>
      <c r="Q273" s="12">
        <f>(5-WEEKDAY(financials[[#This Row],[Date]],2)+financials[[#This Row],[Date]])</f>
        <v>41978</v>
      </c>
    </row>
    <row r="274" spans="1:17" x14ac:dyDescent="0.25">
      <c r="A274" t="s">
        <v>8</v>
      </c>
      <c r="B274" t="s">
        <v>16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22</v>
      </c>
      <c r="P274" s="13">
        <v>2014</v>
      </c>
      <c r="Q274" s="12">
        <f>(5-WEEKDAY(financials[[#This Row],[Date]],2)+financials[[#This Row],[Date]])</f>
        <v>41733</v>
      </c>
    </row>
    <row r="275" spans="1:17" x14ac:dyDescent="0.25">
      <c r="A275" t="s">
        <v>10</v>
      </c>
      <c r="B275" t="s">
        <v>15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19</v>
      </c>
      <c r="P275" s="13">
        <v>2014</v>
      </c>
      <c r="Q275" s="12">
        <f>(5-WEEKDAY(financials[[#This Row],[Date]],2)+financials[[#This Row],[Date]])</f>
        <v>41642</v>
      </c>
    </row>
    <row r="276" spans="1:17" x14ac:dyDescent="0.25">
      <c r="A276" t="s">
        <v>8</v>
      </c>
      <c r="B276" t="s">
        <v>14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24</v>
      </c>
      <c r="P276" s="13">
        <v>2014</v>
      </c>
      <c r="Q276" s="12">
        <f>(5-WEEKDAY(financials[[#This Row],[Date]],2)+financials[[#This Row],[Date]])</f>
        <v>41789</v>
      </c>
    </row>
    <row r="277" spans="1:17" x14ac:dyDescent="0.25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27</v>
      </c>
      <c r="P277" s="13">
        <v>2014</v>
      </c>
      <c r="Q277" s="12">
        <f>(5-WEEKDAY(financials[[#This Row],[Date]],2)+financials[[#This Row],[Date]])</f>
        <v>41887</v>
      </c>
    </row>
    <row r="278" spans="1:17" x14ac:dyDescent="0.25">
      <c r="A278" t="s">
        <v>11</v>
      </c>
      <c r="B278" t="s">
        <v>14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28</v>
      </c>
      <c r="P278" s="13">
        <v>2013</v>
      </c>
      <c r="Q278" s="12">
        <f>(5-WEEKDAY(financials[[#This Row],[Date]],2)+financials[[#This Row],[Date]])</f>
        <v>41551</v>
      </c>
    </row>
    <row r="279" spans="1:17" x14ac:dyDescent="0.25">
      <c r="A279" t="s">
        <v>8</v>
      </c>
      <c r="B279" t="s">
        <v>15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29</v>
      </c>
      <c r="P279" s="13">
        <v>2014</v>
      </c>
      <c r="Q279" s="12">
        <f>(5-WEEKDAY(financials[[#This Row],[Date]],2)+financials[[#This Row],[Date]])</f>
        <v>41943</v>
      </c>
    </row>
    <row r="280" spans="1:17" x14ac:dyDescent="0.25">
      <c r="A280" t="s">
        <v>10</v>
      </c>
      <c r="B280" t="s">
        <v>15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29</v>
      </c>
      <c r="P280" s="13">
        <v>2013</v>
      </c>
      <c r="Q280" s="12">
        <f>(5-WEEKDAY(financials[[#This Row],[Date]],2)+financials[[#This Row],[Date]])</f>
        <v>41579</v>
      </c>
    </row>
    <row r="281" spans="1:17" x14ac:dyDescent="0.25">
      <c r="A281" t="s">
        <v>9</v>
      </c>
      <c r="B281" t="s">
        <v>17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30</v>
      </c>
      <c r="P281" s="13">
        <v>2013</v>
      </c>
      <c r="Q281" s="12">
        <f>(5-WEEKDAY(financials[[#This Row],[Date]],2)+financials[[#This Row],[Date]])</f>
        <v>41607</v>
      </c>
    </row>
    <row r="282" spans="1:17" x14ac:dyDescent="0.25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22</v>
      </c>
      <c r="P282" s="13">
        <v>2014</v>
      </c>
      <c r="Q282" s="12">
        <f>(5-WEEKDAY(financials[[#This Row],[Date]],2)+financials[[#This Row],[Date]])</f>
        <v>41733</v>
      </c>
    </row>
    <row r="283" spans="1:17" x14ac:dyDescent="0.25">
      <c r="A283" t="s">
        <v>10</v>
      </c>
      <c r="B283" t="s">
        <v>17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23</v>
      </c>
      <c r="P283" s="13">
        <v>2014</v>
      </c>
      <c r="Q283" s="12">
        <f>(5-WEEKDAY(financials[[#This Row],[Date]],2)+financials[[#This Row],[Date]])</f>
        <v>41761</v>
      </c>
    </row>
    <row r="284" spans="1:17" x14ac:dyDescent="0.25">
      <c r="A284" t="s">
        <v>10</v>
      </c>
      <c r="B284" t="s">
        <v>16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28</v>
      </c>
      <c r="P284" s="13">
        <v>2013</v>
      </c>
      <c r="Q284" s="12">
        <f>(5-WEEKDAY(financials[[#This Row],[Date]],2)+financials[[#This Row],[Date]])</f>
        <v>41551</v>
      </c>
    </row>
    <row r="285" spans="1:17" x14ac:dyDescent="0.25">
      <c r="A285" t="s">
        <v>11</v>
      </c>
      <c r="B285" t="s">
        <v>15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29</v>
      </c>
      <c r="P285" s="13">
        <v>2014</v>
      </c>
      <c r="Q285" s="12">
        <f>(5-WEEKDAY(financials[[#This Row],[Date]],2)+financials[[#This Row],[Date]])</f>
        <v>41943</v>
      </c>
    </row>
    <row r="286" spans="1:17" x14ac:dyDescent="0.25">
      <c r="A286" t="s">
        <v>10</v>
      </c>
      <c r="B286" t="s">
        <v>16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24</v>
      </c>
      <c r="P286" s="13">
        <v>2014</v>
      </c>
      <c r="Q286" s="12">
        <f>(5-WEEKDAY(financials[[#This Row],[Date]],2)+financials[[#This Row],[Date]])</f>
        <v>41789</v>
      </c>
    </row>
    <row r="287" spans="1:17" x14ac:dyDescent="0.25">
      <c r="A287" t="s">
        <v>11</v>
      </c>
      <c r="B287" t="s">
        <v>14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28</v>
      </c>
      <c r="P287" s="13">
        <v>2013</v>
      </c>
      <c r="Q287" s="12">
        <f>(5-WEEKDAY(financials[[#This Row],[Date]],2)+financials[[#This Row],[Date]])</f>
        <v>41551</v>
      </c>
    </row>
    <row r="288" spans="1:17" x14ac:dyDescent="0.25">
      <c r="A288" t="s">
        <v>10</v>
      </c>
      <c r="B288" t="s">
        <v>15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28</v>
      </c>
      <c r="P288" s="13">
        <v>2013</v>
      </c>
      <c r="Q288" s="12">
        <f>(5-WEEKDAY(financials[[#This Row],[Date]],2)+financials[[#This Row],[Date]])</f>
        <v>41551</v>
      </c>
    </row>
    <row r="289" spans="1:17" x14ac:dyDescent="0.25">
      <c r="A289" t="s">
        <v>9</v>
      </c>
      <c r="B289" t="s">
        <v>14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20</v>
      </c>
      <c r="P289" s="13">
        <v>2014</v>
      </c>
      <c r="Q289" s="12">
        <f>(5-WEEKDAY(financials[[#This Row],[Date]],2)+financials[[#This Row],[Date]])</f>
        <v>41670</v>
      </c>
    </row>
    <row r="290" spans="1:17" x14ac:dyDescent="0.25">
      <c r="A290" t="s">
        <v>9</v>
      </c>
      <c r="B290" t="s">
        <v>15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20</v>
      </c>
      <c r="P290" s="13">
        <v>2014</v>
      </c>
      <c r="Q290" s="12">
        <f>(5-WEEKDAY(financials[[#This Row],[Date]],2)+financials[[#This Row],[Date]])</f>
        <v>41670</v>
      </c>
    </row>
    <row r="291" spans="1:17" x14ac:dyDescent="0.25">
      <c r="A291" t="s">
        <v>8</v>
      </c>
      <c r="B291" t="s">
        <v>17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23</v>
      </c>
      <c r="P291" s="13">
        <v>2014</v>
      </c>
      <c r="Q291" s="12">
        <f>(5-WEEKDAY(financials[[#This Row],[Date]],2)+financials[[#This Row],[Date]])</f>
        <v>41761</v>
      </c>
    </row>
    <row r="292" spans="1:17" x14ac:dyDescent="0.25">
      <c r="A292" t="s">
        <v>10</v>
      </c>
      <c r="B292" t="s">
        <v>16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24</v>
      </c>
      <c r="P292" s="13">
        <v>2014</v>
      </c>
      <c r="Q292" s="12">
        <f>(5-WEEKDAY(financials[[#This Row],[Date]],2)+financials[[#This Row],[Date]])</f>
        <v>41789</v>
      </c>
    </row>
    <row r="293" spans="1:17" x14ac:dyDescent="0.25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24</v>
      </c>
      <c r="P293" s="13">
        <v>2014</v>
      </c>
      <c r="Q293" s="12">
        <f>(5-WEEKDAY(financials[[#This Row],[Date]],2)+financials[[#This Row],[Date]])</f>
        <v>41789</v>
      </c>
    </row>
    <row r="294" spans="1:17" x14ac:dyDescent="0.25">
      <c r="A294" t="s">
        <v>7</v>
      </c>
      <c r="B294" t="s">
        <v>16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28</v>
      </c>
      <c r="P294" s="13">
        <v>2013</v>
      </c>
      <c r="Q294" s="12">
        <f>(5-WEEKDAY(financials[[#This Row],[Date]],2)+financials[[#This Row],[Date]])</f>
        <v>41551</v>
      </c>
    </row>
    <row r="295" spans="1:17" x14ac:dyDescent="0.25">
      <c r="A295" t="s">
        <v>10</v>
      </c>
      <c r="B295" t="s">
        <v>16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28</v>
      </c>
      <c r="P295" s="13">
        <v>2013</v>
      </c>
      <c r="Q295" s="12">
        <f>(5-WEEKDAY(financials[[#This Row],[Date]],2)+financials[[#This Row],[Date]])</f>
        <v>41551</v>
      </c>
    </row>
    <row r="296" spans="1:17" x14ac:dyDescent="0.25">
      <c r="A296" t="s">
        <v>8</v>
      </c>
      <c r="B296" t="s">
        <v>14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24</v>
      </c>
      <c r="P296" s="13">
        <v>2014</v>
      </c>
      <c r="Q296" s="12">
        <f>(5-WEEKDAY(financials[[#This Row],[Date]],2)+financials[[#This Row],[Date]])</f>
        <v>41789</v>
      </c>
    </row>
    <row r="297" spans="1:17" x14ac:dyDescent="0.25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24</v>
      </c>
      <c r="P297" s="13">
        <v>2014</v>
      </c>
      <c r="Q297" s="12">
        <f>(5-WEEKDAY(financials[[#This Row],[Date]],2)+financials[[#This Row],[Date]])</f>
        <v>41789</v>
      </c>
    </row>
    <row r="298" spans="1:17" x14ac:dyDescent="0.25">
      <c r="A298" t="s">
        <v>7</v>
      </c>
      <c r="B298" t="s">
        <v>16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28</v>
      </c>
      <c r="P298" s="13">
        <v>2013</v>
      </c>
      <c r="Q298" s="12">
        <f>(5-WEEKDAY(financials[[#This Row],[Date]],2)+financials[[#This Row],[Date]])</f>
        <v>41551</v>
      </c>
    </row>
    <row r="299" spans="1:17" x14ac:dyDescent="0.25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29</v>
      </c>
      <c r="P299" s="13">
        <v>2013</v>
      </c>
      <c r="Q299" s="12">
        <f>(5-WEEKDAY(financials[[#This Row],[Date]],2)+financials[[#This Row],[Date]])</f>
        <v>41579</v>
      </c>
    </row>
    <row r="300" spans="1:17" x14ac:dyDescent="0.25">
      <c r="A300" t="s">
        <v>7</v>
      </c>
      <c r="B300" t="s">
        <v>14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30</v>
      </c>
      <c r="P300" s="13">
        <v>2013</v>
      </c>
      <c r="Q300" s="12">
        <f>(5-WEEKDAY(financials[[#This Row],[Date]],2)+financials[[#This Row],[Date]])</f>
        <v>41607</v>
      </c>
    </row>
    <row r="301" spans="1:17" x14ac:dyDescent="0.25">
      <c r="A301" t="s">
        <v>9</v>
      </c>
      <c r="B301" t="s">
        <v>16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19</v>
      </c>
      <c r="P301" s="13">
        <v>2014</v>
      </c>
      <c r="Q301" s="12">
        <f>(5-WEEKDAY(financials[[#This Row],[Date]],2)+financials[[#This Row],[Date]])</f>
        <v>41642</v>
      </c>
    </row>
    <row r="302" spans="1:17" x14ac:dyDescent="0.25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27</v>
      </c>
      <c r="P302" s="13">
        <v>2014</v>
      </c>
      <c r="Q302" s="12">
        <f>(5-WEEKDAY(financials[[#This Row],[Date]],2)+financials[[#This Row],[Date]])</f>
        <v>41887</v>
      </c>
    </row>
    <row r="303" spans="1:17" x14ac:dyDescent="0.25">
      <c r="A303" t="s">
        <v>10</v>
      </c>
      <c r="B303" t="s">
        <v>15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28</v>
      </c>
      <c r="P303" s="13">
        <v>2013</v>
      </c>
      <c r="Q303" s="12">
        <f>(5-WEEKDAY(financials[[#This Row],[Date]],2)+financials[[#This Row],[Date]])</f>
        <v>41551</v>
      </c>
    </row>
    <row r="304" spans="1:17" x14ac:dyDescent="0.25">
      <c r="A304" t="s">
        <v>10</v>
      </c>
      <c r="B304" t="s">
        <v>16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28</v>
      </c>
      <c r="P304" s="13">
        <v>2013</v>
      </c>
      <c r="Q304" s="12">
        <f>(5-WEEKDAY(financials[[#This Row],[Date]],2)+financials[[#This Row],[Date]])</f>
        <v>41551</v>
      </c>
    </row>
    <row r="305" spans="1:17" x14ac:dyDescent="0.25">
      <c r="A305" t="s">
        <v>10</v>
      </c>
      <c r="B305" t="s">
        <v>16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28</v>
      </c>
      <c r="P305" s="13">
        <v>2013</v>
      </c>
      <c r="Q305" s="12">
        <f>(5-WEEKDAY(financials[[#This Row],[Date]],2)+financials[[#This Row],[Date]])</f>
        <v>41551</v>
      </c>
    </row>
    <row r="306" spans="1:17" x14ac:dyDescent="0.25">
      <c r="A306" t="s">
        <v>10</v>
      </c>
      <c r="B306" t="s">
        <v>16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28</v>
      </c>
      <c r="P306" s="13">
        <v>2013</v>
      </c>
      <c r="Q306" s="12">
        <f>(5-WEEKDAY(financials[[#This Row],[Date]],2)+financials[[#This Row],[Date]])</f>
        <v>41551</v>
      </c>
    </row>
    <row r="307" spans="1:17" x14ac:dyDescent="0.25">
      <c r="A307" t="s">
        <v>8</v>
      </c>
      <c r="B307" t="s">
        <v>15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26</v>
      </c>
      <c r="P307" s="13">
        <v>2014</v>
      </c>
      <c r="Q307" s="12">
        <f>(5-WEEKDAY(financials[[#This Row],[Date]],2)+financials[[#This Row],[Date]])</f>
        <v>41852</v>
      </c>
    </row>
    <row r="308" spans="1:17" x14ac:dyDescent="0.25">
      <c r="A308" t="s">
        <v>8</v>
      </c>
      <c r="B308" t="s">
        <v>17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26</v>
      </c>
      <c r="P308" s="13">
        <v>2014</v>
      </c>
      <c r="Q308" s="12">
        <f>(5-WEEKDAY(financials[[#This Row],[Date]],2)+financials[[#This Row],[Date]])</f>
        <v>41852</v>
      </c>
    </row>
    <row r="309" spans="1:17" x14ac:dyDescent="0.25">
      <c r="A309" t="s">
        <v>8</v>
      </c>
      <c r="B309" t="s">
        <v>15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28</v>
      </c>
      <c r="P309" s="13">
        <v>2014</v>
      </c>
      <c r="Q309" s="12">
        <f>(5-WEEKDAY(financials[[#This Row],[Date]],2)+financials[[#This Row],[Date]])</f>
        <v>41915</v>
      </c>
    </row>
    <row r="310" spans="1:17" x14ac:dyDescent="0.25">
      <c r="A310" t="s">
        <v>10</v>
      </c>
      <c r="B310" t="s">
        <v>16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28</v>
      </c>
      <c r="P310" s="13">
        <v>2013</v>
      </c>
      <c r="Q310" s="12">
        <f>(5-WEEKDAY(financials[[#This Row],[Date]],2)+financials[[#This Row],[Date]])</f>
        <v>41551</v>
      </c>
    </row>
    <row r="311" spans="1:17" x14ac:dyDescent="0.25">
      <c r="A311" t="s">
        <v>10</v>
      </c>
      <c r="B311" t="s">
        <v>17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26</v>
      </c>
      <c r="P311" s="13">
        <v>2014</v>
      </c>
      <c r="Q311" s="12">
        <f>(5-WEEKDAY(financials[[#This Row],[Date]],2)+financials[[#This Row],[Date]])</f>
        <v>41852</v>
      </c>
    </row>
    <row r="312" spans="1:17" x14ac:dyDescent="0.25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29</v>
      </c>
      <c r="P312" s="13">
        <v>2014</v>
      </c>
      <c r="Q312" s="12">
        <f>(5-WEEKDAY(financials[[#This Row],[Date]],2)+financials[[#This Row],[Date]])</f>
        <v>41943</v>
      </c>
    </row>
    <row r="313" spans="1:17" x14ac:dyDescent="0.25">
      <c r="A313" t="s">
        <v>8</v>
      </c>
      <c r="B313" t="s">
        <v>15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28</v>
      </c>
      <c r="P313" s="13">
        <v>2014</v>
      </c>
      <c r="Q313" s="12">
        <f>(5-WEEKDAY(financials[[#This Row],[Date]],2)+financials[[#This Row],[Date]])</f>
        <v>41915</v>
      </c>
    </row>
    <row r="314" spans="1:17" x14ac:dyDescent="0.25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20</v>
      </c>
      <c r="P314" s="13">
        <v>2014</v>
      </c>
      <c r="Q314" s="12">
        <f>(5-WEEKDAY(financials[[#This Row],[Date]],2)+financials[[#This Row],[Date]])</f>
        <v>41670</v>
      </c>
    </row>
    <row r="315" spans="1:17" x14ac:dyDescent="0.25">
      <c r="A315" t="s">
        <v>11</v>
      </c>
      <c r="B315" t="s">
        <v>14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26</v>
      </c>
      <c r="P315" s="13">
        <v>2014</v>
      </c>
      <c r="Q315" s="12">
        <f>(5-WEEKDAY(financials[[#This Row],[Date]],2)+financials[[#This Row],[Date]])</f>
        <v>41852</v>
      </c>
    </row>
    <row r="316" spans="1:17" x14ac:dyDescent="0.25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27</v>
      </c>
      <c r="P316" s="13">
        <v>2013</v>
      </c>
      <c r="Q316" s="12">
        <f>(5-WEEKDAY(financials[[#This Row],[Date]],2)+financials[[#This Row],[Date]])</f>
        <v>41516</v>
      </c>
    </row>
    <row r="317" spans="1:17" x14ac:dyDescent="0.25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19</v>
      </c>
      <c r="P317" s="13">
        <v>2014</v>
      </c>
      <c r="Q317" s="12">
        <f>(5-WEEKDAY(financials[[#This Row],[Date]],2)+financials[[#This Row],[Date]])</f>
        <v>41642</v>
      </c>
    </row>
    <row r="318" spans="1:17" x14ac:dyDescent="0.25">
      <c r="A318" t="s">
        <v>11</v>
      </c>
      <c r="B318" t="s">
        <v>16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29</v>
      </c>
      <c r="P318" s="13">
        <v>2014</v>
      </c>
      <c r="Q318" s="12">
        <f>(5-WEEKDAY(financials[[#This Row],[Date]],2)+financials[[#This Row],[Date]])</f>
        <v>41943</v>
      </c>
    </row>
    <row r="319" spans="1:17" x14ac:dyDescent="0.25">
      <c r="A319" t="s">
        <v>10</v>
      </c>
      <c r="B319" t="s">
        <v>16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27</v>
      </c>
      <c r="P319" s="13">
        <v>2013</v>
      </c>
      <c r="Q319" s="12">
        <f>(5-WEEKDAY(financials[[#This Row],[Date]],2)+financials[[#This Row],[Date]])</f>
        <v>41516</v>
      </c>
    </row>
    <row r="320" spans="1:17" x14ac:dyDescent="0.25">
      <c r="A320" t="s">
        <v>8</v>
      </c>
      <c r="B320" t="s">
        <v>14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23</v>
      </c>
      <c r="P320" s="13">
        <v>2014</v>
      </c>
      <c r="Q320" s="12">
        <f>(5-WEEKDAY(financials[[#This Row],[Date]],2)+financials[[#This Row],[Date]])</f>
        <v>41761</v>
      </c>
    </row>
    <row r="321" spans="1:17" x14ac:dyDescent="0.25">
      <c r="A321" t="s">
        <v>10</v>
      </c>
      <c r="B321" t="s">
        <v>14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24</v>
      </c>
      <c r="P321" s="13">
        <v>2014</v>
      </c>
      <c r="Q321" s="12">
        <f>(5-WEEKDAY(financials[[#This Row],[Date]],2)+financials[[#This Row],[Date]])</f>
        <v>41789</v>
      </c>
    </row>
    <row r="322" spans="1:17" x14ac:dyDescent="0.25">
      <c r="A322" t="s">
        <v>10</v>
      </c>
      <c r="B322" t="s">
        <v>15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29</v>
      </c>
      <c r="P322" s="13">
        <v>2014</v>
      </c>
      <c r="Q322" s="12">
        <f>(5-WEEKDAY(financials[[#This Row],[Date]],2)+financials[[#This Row],[Date]])</f>
        <v>41943</v>
      </c>
    </row>
    <row r="323" spans="1:17" x14ac:dyDescent="0.25">
      <c r="A323" t="s">
        <v>10</v>
      </c>
      <c r="B323" t="s">
        <v>14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30</v>
      </c>
      <c r="P323" s="13">
        <v>2014</v>
      </c>
      <c r="Q323" s="12">
        <f>(5-WEEKDAY(financials[[#This Row],[Date]],2)+financials[[#This Row],[Date]])</f>
        <v>41978</v>
      </c>
    </row>
    <row r="324" spans="1:17" x14ac:dyDescent="0.25">
      <c r="A324" t="s">
        <v>11</v>
      </c>
      <c r="B324" t="s">
        <v>16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22</v>
      </c>
      <c r="P324" s="13">
        <v>2014</v>
      </c>
      <c r="Q324" s="12">
        <f>(5-WEEKDAY(financials[[#This Row],[Date]],2)+financials[[#This Row],[Date]])</f>
        <v>41733</v>
      </c>
    </row>
    <row r="325" spans="1:17" x14ac:dyDescent="0.25">
      <c r="A325" t="s">
        <v>11</v>
      </c>
      <c r="B325" t="s">
        <v>17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27</v>
      </c>
      <c r="P325" s="13">
        <v>2013</v>
      </c>
      <c r="Q325" s="12">
        <f>(5-WEEKDAY(financials[[#This Row],[Date]],2)+financials[[#This Row],[Date]])</f>
        <v>41516</v>
      </c>
    </row>
    <row r="326" spans="1:17" x14ac:dyDescent="0.25">
      <c r="A326" t="s">
        <v>10</v>
      </c>
      <c r="B326" t="s">
        <v>14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30</v>
      </c>
      <c r="P326" s="13">
        <v>2014</v>
      </c>
      <c r="Q326" s="12">
        <f>(5-WEEKDAY(financials[[#This Row],[Date]],2)+financials[[#This Row],[Date]])</f>
        <v>41978</v>
      </c>
    </row>
    <row r="327" spans="1:17" x14ac:dyDescent="0.25">
      <c r="A327" t="s">
        <v>10</v>
      </c>
      <c r="B327" t="s">
        <v>14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24</v>
      </c>
      <c r="P327" s="13">
        <v>2014</v>
      </c>
      <c r="Q327" s="12">
        <f>(5-WEEKDAY(financials[[#This Row],[Date]],2)+financials[[#This Row],[Date]])</f>
        <v>41789</v>
      </c>
    </row>
    <row r="328" spans="1:17" x14ac:dyDescent="0.25">
      <c r="A328" t="s">
        <v>10</v>
      </c>
      <c r="B328" t="s">
        <v>15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21</v>
      </c>
      <c r="P328" s="13">
        <v>2014</v>
      </c>
      <c r="Q328" s="12">
        <f>(5-WEEKDAY(financials[[#This Row],[Date]],2)+financials[[#This Row],[Date]])</f>
        <v>41698</v>
      </c>
    </row>
    <row r="329" spans="1:17" x14ac:dyDescent="0.25">
      <c r="A329" t="s">
        <v>7</v>
      </c>
      <c r="B329" t="s">
        <v>16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24</v>
      </c>
      <c r="P329" s="13">
        <v>2014</v>
      </c>
      <c r="Q329" s="12">
        <f>(5-WEEKDAY(financials[[#This Row],[Date]],2)+financials[[#This Row],[Date]])</f>
        <v>41789</v>
      </c>
    </row>
    <row r="330" spans="1:17" x14ac:dyDescent="0.25">
      <c r="A330" t="s">
        <v>7</v>
      </c>
      <c r="B330" t="s">
        <v>16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28</v>
      </c>
      <c r="P330" s="13">
        <v>2014</v>
      </c>
      <c r="Q330" s="12">
        <f>(5-WEEKDAY(financials[[#This Row],[Date]],2)+financials[[#This Row],[Date]])</f>
        <v>41915</v>
      </c>
    </row>
    <row r="331" spans="1:17" x14ac:dyDescent="0.25">
      <c r="A331" t="s">
        <v>10</v>
      </c>
      <c r="B331" t="s">
        <v>16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28</v>
      </c>
      <c r="P331" s="13">
        <v>2014</v>
      </c>
      <c r="Q331" s="12">
        <f>(5-WEEKDAY(financials[[#This Row],[Date]],2)+financials[[#This Row],[Date]])</f>
        <v>41915</v>
      </c>
    </row>
    <row r="332" spans="1:17" x14ac:dyDescent="0.25">
      <c r="A332" t="s">
        <v>7</v>
      </c>
      <c r="B332" t="s">
        <v>16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28</v>
      </c>
      <c r="P332" s="13">
        <v>2014</v>
      </c>
      <c r="Q332" s="12">
        <f>(5-WEEKDAY(financials[[#This Row],[Date]],2)+financials[[#This Row],[Date]])</f>
        <v>41915</v>
      </c>
    </row>
    <row r="333" spans="1:17" x14ac:dyDescent="0.25">
      <c r="A333" t="s">
        <v>9</v>
      </c>
      <c r="B333" t="s">
        <v>17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29</v>
      </c>
      <c r="P333" s="13">
        <v>2013</v>
      </c>
      <c r="Q333" s="12">
        <f>(5-WEEKDAY(financials[[#This Row],[Date]],2)+financials[[#This Row],[Date]])</f>
        <v>41579</v>
      </c>
    </row>
    <row r="334" spans="1:17" x14ac:dyDescent="0.25">
      <c r="A334" t="s">
        <v>7</v>
      </c>
      <c r="B334" t="s">
        <v>14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23</v>
      </c>
      <c r="P334" s="13">
        <v>2014</v>
      </c>
      <c r="Q334" s="12">
        <f>(5-WEEKDAY(financials[[#This Row],[Date]],2)+financials[[#This Row],[Date]])</f>
        <v>41761</v>
      </c>
    </row>
    <row r="335" spans="1:17" x14ac:dyDescent="0.25">
      <c r="A335" t="s">
        <v>7</v>
      </c>
      <c r="B335" t="s">
        <v>16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24</v>
      </c>
      <c r="P335" s="13">
        <v>2014</v>
      </c>
      <c r="Q335" s="12">
        <f>(5-WEEKDAY(financials[[#This Row],[Date]],2)+financials[[#This Row],[Date]])</f>
        <v>41789</v>
      </c>
    </row>
    <row r="336" spans="1:17" x14ac:dyDescent="0.25">
      <c r="A336" t="s">
        <v>9</v>
      </c>
      <c r="B336" t="s">
        <v>17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25</v>
      </c>
      <c r="P336" s="13">
        <v>2014</v>
      </c>
      <c r="Q336" s="12">
        <f>(5-WEEKDAY(financials[[#This Row],[Date]],2)+financials[[#This Row],[Date]])</f>
        <v>41824</v>
      </c>
    </row>
    <row r="337" spans="1:17" x14ac:dyDescent="0.25">
      <c r="A337" t="s">
        <v>8</v>
      </c>
      <c r="B337" t="s">
        <v>16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26</v>
      </c>
      <c r="P337" s="13">
        <v>2014</v>
      </c>
      <c r="Q337" s="12">
        <f>(5-WEEKDAY(financials[[#This Row],[Date]],2)+financials[[#This Row],[Date]])</f>
        <v>41852</v>
      </c>
    </row>
    <row r="338" spans="1:17" x14ac:dyDescent="0.25">
      <c r="A338" t="s">
        <v>8</v>
      </c>
      <c r="B338" t="s">
        <v>15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27</v>
      </c>
      <c r="P338" s="13">
        <v>2013</v>
      </c>
      <c r="Q338" s="12">
        <f>(5-WEEKDAY(financials[[#This Row],[Date]],2)+financials[[#This Row],[Date]])</f>
        <v>41516</v>
      </c>
    </row>
    <row r="339" spans="1:17" x14ac:dyDescent="0.25">
      <c r="A339" t="s">
        <v>10</v>
      </c>
      <c r="B339" t="s">
        <v>16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27</v>
      </c>
      <c r="P339" s="13">
        <v>2014</v>
      </c>
      <c r="Q339" s="12">
        <f>(5-WEEKDAY(financials[[#This Row],[Date]],2)+financials[[#This Row],[Date]])</f>
        <v>41887</v>
      </c>
    </row>
    <row r="340" spans="1:17" x14ac:dyDescent="0.25">
      <c r="A340" t="s">
        <v>7</v>
      </c>
      <c r="B340" t="s">
        <v>17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27</v>
      </c>
      <c r="P340" s="13">
        <v>2013</v>
      </c>
      <c r="Q340" s="12">
        <f>(5-WEEKDAY(financials[[#This Row],[Date]],2)+financials[[#This Row],[Date]])</f>
        <v>41516</v>
      </c>
    </row>
    <row r="341" spans="1:17" x14ac:dyDescent="0.25">
      <c r="A341" t="s">
        <v>7</v>
      </c>
      <c r="B341" t="s">
        <v>14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29</v>
      </c>
      <c r="P341" s="13">
        <v>2013</v>
      </c>
      <c r="Q341" s="12">
        <f>(5-WEEKDAY(financials[[#This Row],[Date]],2)+financials[[#This Row],[Date]])</f>
        <v>41579</v>
      </c>
    </row>
    <row r="342" spans="1:17" x14ac:dyDescent="0.25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29</v>
      </c>
      <c r="P342" s="13">
        <v>2013</v>
      </c>
      <c r="Q342" s="12">
        <f>(5-WEEKDAY(financials[[#This Row],[Date]],2)+financials[[#This Row],[Date]])</f>
        <v>41579</v>
      </c>
    </row>
    <row r="343" spans="1:17" x14ac:dyDescent="0.25">
      <c r="A343" t="s">
        <v>10</v>
      </c>
      <c r="B343" t="s">
        <v>17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30</v>
      </c>
      <c r="P343" s="13">
        <v>2013</v>
      </c>
      <c r="Q343" s="12">
        <f>(5-WEEKDAY(financials[[#This Row],[Date]],2)+financials[[#This Row],[Date]])</f>
        <v>41607</v>
      </c>
    </row>
    <row r="344" spans="1:17" x14ac:dyDescent="0.25">
      <c r="A344" t="s">
        <v>7</v>
      </c>
      <c r="B344" t="s">
        <v>16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25</v>
      </c>
      <c r="P344" s="13">
        <v>2014</v>
      </c>
      <c r="Q344" s="12">
        <f>(5-WEEKDAY(financials[[#This Row],[Date]],2)+financials[[#This Row],[Date]])</f>
        <v>41824</v>
      </c>
    </row>
    <row r="345" spans="1:17" x14ac:dyDescent="0.25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26</v>
      </c>
      <c r="P345" s="13">
        <v>2014</v>
      </c>
      <c r="Q345" s="12">
        <f>(5-WEEKDAY(financials[[#This Row],[Date]],2)+financials[[#This Row],[Date]])</f>
        <v>41852</v>
      </c>
    </row>
    <row r="346" spans="1:17" x14ac:dyDescent="0.25">
      <c r="A346" t="s">
        <v>9</v>
      </c>
      <c r="B346" t="s">
        <v>17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27</v>
      </c>
      <c r="P346" s="13">
        <v>2014</v>
      </c>
      <c r="Q346" s="12">
        <f>(5-WEEKDAY(financials[[#This Row],[Date]],2)+financials[[#This Row],[Date]])</f>
        <v>41887</v>
      </c>
    </row>
    <row r="347" spans="1:17" x14ac:dyDescent="0.25">
      <c r="A347" t="s">
        <v>10</v>
      </c>
      <c r="B347" t="s">
        <v>16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28</v>
      </c>
      <c r="P347" s="13">
        <v>2014</v>
      </c>
      <c r="Q347" s="12">
        <f>(5-WEEKDAY(financials[[#This Row],[Date]],2)+financials[[#This Row],[Date]])</f>
        <v>41915</v>
      </c>
    </row>
    <row r="348" spans="1:17" x14ac:dyDescent="0.25">
      <c r="A348" t="s">
        <v>10</v>
      </c>
      <c r="B348" t="s">
        <v>15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30</v>
      </c>
      <c r="P348" s="13">
        <v>2013</v>
      </c>
      <c r="Q348" s="12">
        <f>(5-WEEKDAY(financials[[#This Row],[Date]],2)+financials[[#This Row],[Date]])</f>
        <v>41607</v>
      </c>
    </row>
    <row r="349" spans="1:17" x14ac:dyDescent="0.25">
      <c r="A349" t="s">
        <v>7</v>
      </c>
      <c r="B349" t="s">
        <v>15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30</v>
      </c>
      <c r="P349" s="13">
        <v>2014</v>
      </c>
      <c r="Q349" s="12">
        <f>(5-WEEKDAY(financials[[#This Row],[Date]],2)+financials[[#This Row],[Date]])</f>
        <v>41978</v>
      </c>
    </row>
    <row r="350" spans="1:17" x14ac:dyDescent="0.25">
      <c r="A350" t="s">
        <v>10</v>
      </c>
      <c r="B350" t="s">
        <v>17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30</v>
      </c>
      <c r="P350" s="13">
        <v>2013</v>
      </c>
      <c r="Q350" s="12">
        <f>(5-WEEKDAY(financials[[#This Row],[Date]],2)+financials[[#This Row],[Date]])</f>
        <v>41607</v>
      </c>
    </row>
    <row r="351" spans="1:17" x14ac:dyDescent="0.25">
      <c r="A351" t="s">
        <v>11</v>
      </c>
      <c r="B351" t="s">
        <v>14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19</v>
      </c>
      <c r="P351" s="13">
        <v>2014</v>
      </c>
      <c r="Q351" s="12">
        <f>(5-WEEKDAY(financials[[#This Row],[Date]],2)+financials[[#This Row],[Date]])</f>
        <v>41642</v>
      </c>
    </row>
    <row r="352" spans="1:17" x14ac:dyDescent="0.25">
      <c r="A352" t="s">
        <v>7</v>
      </c>
      <c r="B352" t="s">
        <v>16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20</v>
      </c>
      <c r="P352" s="13">
        <v>2014</v>
      </c>
      <c r="Q352" s="12">
        <f>(5-WEEKDAY(financials[[#This Row],[Date]],2)+financials[[#This Row],[Date]])</f>
        <v>41670</v>
      </c>
    </row>
    <row r="353" spans="1:17" x14ac:dyDescent="0.25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20</v>
      </c>
      <c r="P353" s="13">
        <v>2014</v>
      </c>
      <c r="Q353" s="12">
        <f>(5-WEEKDAY(financials[[#This Row],[Date]],2)+financials[[#This Row],[Date]])</f>
        <v>41670</v>
      </c>
    </row>
    <row r="354" spans="1:17" x14ac:dyDescent="0.25">
      <c r="A354" t="s">
        <v>9</v>
      </c>
      <c r="B354" t="s">
        <v>14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23</v>
      </c>
      <c r="P354" s="13">
        <v>2014</v>
      </c>
      <c r="Q354" s="12">
        <f>(5-WEEKDAY(financials[[#This Row],[Date]],2)+financials[[#This Row],[Date]])</f>
        <v>41761</v>
      </c>
    </row>
    <row r="355" spans="1:17" x14ac:dyDescent="0.25">
      <c r="A355" t="s">
        <v>10</v>
      </c>
      <c r="B355" t="s">
        <v>16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27</v>
      </c>
      <c r="P355" s="13">
        <v>2014</v>
      </c>
      <c r="Q355" s="12">
        <f>(5-WEEKDAY(financials[[#This Row],[Date]],2)+financials[[#This Row],[Date]])</f>
        <v>41887</v>
      </c>
    </row>
    <row r="356" spans="1:17" x14ac:dyDescent="0.25">
      <c r="A356" t="s">
        <v>9</v>
      </c>
      <c r="B356" t="s">
        <v>17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27</v>
      </c>
      <c r="P356" s="13">
        <v>2013</v>
      </c>
      <c r="Q356" s="12">
        <f>(5-WEEKDAY(financials[[#This Row],[Date]],2)+financials[[#This Row],[Date]])</f>
        <v>41516</v>
      </c>
    </row>
    <row r="357" spans="1:17" x14ac:dyDescent="0.25">
      <c r="A357" t="s">
        <v>10</v>
      </c>
      <c r="B357" t="s">
        <v>14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29</v>
      </c>
      <c r="P357" s="13">
        <v>2014</v>
      </c>
      <c r="Q357" s="12">
        <f>(5-WEEKDAY(financials[[#This Row],[Date]],2)+financials[[#This Row],[Date]])</f>
        <v>41943</v>
      </c>
    </row>
    <row r="358" spans="1:17" x14ac:dyDescent="0.25">
      <c r="A358" t="s">
        <v>7</v>
      </c>
      <c r="B358" t="s">
        <v>15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30</v>
      </c>
      <c r="P358" s="13">
        <v>2014</v>
      </c>
      <c r="Q358" s="12">
        <f>(5-WEEKDAY(financials[[#This Row],[Date]],2)+financials[[#This Row],[Date]])</f>
        <v>41978</v>
      </c>
    </row>
    <row r="359" spans="1:17" x14ac:dyDescent="0.25">
      <c r="A359" t="s">
        <v>10</v>
      </c>
      <c r="B359" t="s">
        <v>14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20</v>
      </c>
      <c r="P359" s="13">
        <v>2014</v>
      </c>
      <c r="Q359" s="12">
        <f>(5-WEEKDAY(financials[[#This Row],[Date]],2)+financials[[#This Row],[Date]])</f>
        <v>41670</v>
      </c>
    </row>
    <row r="360" spans="1:17" x14ac:dyDescent="0.25">
      <c r="A360" t="s">
        <v>10</v>
      </c>
      <c r="B360" t="s">
        <v>15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24</v>
      </c>
      <c r="P360" s="13">
        <v>2014</v>
      </c>
      <c r="Q360" s="12">
        <f>(5-WEEKDAY(financials[[#This Row],[Date]],2)+financials[[#This Row],[Date]])</f>
        <v>41789</v>
      </c>
    </row>
    <row r="361" spans="1:17" x14ac:dyDescent="0.25">
      <c r="A361" t="s">
        <v>10</v>
      </c>
      <c r="B361" t="s">
        <v>14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23</v>
      </c>
      <c r="P361" s="13">
        <v>2014</v>
      </c>
      <c r="Q361" s="12">
        <f>(5-WEEKDAY(financials[[#This Row],[Date]],2)+financials[[#This Row],[Date]])</f>
        <v>41761</v>
      </c>
    </row>
    <row r="362" spans="1:17" x14ac:dyDescent="0.25">
      <c r="A362" t="s">
        <v>10</v>
      </c>
      <c r="B362" t="s">
        <v>15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24</v>
      </c>
      <c r="P362" s="13">
        <v>2014</v>
      </c>
      <c r="Q362" s="12">
        <f>(5-WEEKDAY(financials[[#This Row],[Date]],2)+financials[[#This Row],[Date]])</f>
        <v>41789</v>
      </c>
    </row>
    <row r="363" spans="1:17" x14ac:dyDescent="0.25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26</v>
      </c>
      <c r="P363" s="13">
        <v>2014</v>
      </c>
      <c r="Q363" s="12">
        <f>(5-WEEKDAY(financials[[#This Row],[Date]],2)+financials[[#This Row],[Date]])</f>
        <v>41852</v>
      </c>
    </row>
    <row r="364" spans="1:17" x14ac:dyDescent="0.25">
      <c r="A364" t="s">
        <v>8</v>
      </c>
      <c r="B364" t="s">
        <v>16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29</v>
      </c>
      <c r="P364" s="13">
        <v>2014</v>
      </c>
      <c r="Q364" s="12">
        <f>(5-WEEKDAY(financials[[#This Row],[Date]],2)+financials[[#This Row],[Date]])</f>
        <v>41943</v>
      </c>
    </row>
    <row r="365" spans="1:17" x14ac:dyDescent="0.25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30</v>
      </c>
      <c r="P365" s="13">
        <v>2014</v>
      </c>
      <c r="Q365" s="12">
        <f>(5-WEEKDAY(financials[[#This Row],[Date]],2)+financials[[#This Row],[Date]])</f>
        <v>41978</v>
      </c>
    </row>
    <row r="366" spans="1:17" x14ac:dyDescent="0.25">
      <c r="A366" t="s">
        <v>8</v>
      </c>
      <c r="B366" t="s">
        <v>16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21</v>
      </c>
      <c r="P366" s="13">
        <v>2014</v>
      </c>
      <c r="Q366" s="12">
        <f>(5-WEEKDAY(financials[[#This Row],[Date]],2)+financials[[#This Row],[Date]])</f>
        <v>41698</v>
      </c>
    </row>
    <row r="367" spans="1:17" x14ac:dyDescent="0.25">
      <c r="A367" t="s">
        <v>10</v>
      </c>
      <c r="B367" t="s">
        <v>14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24</v>
      </c>
      <c r="P367" s="13">
        <v>2014</v>
      </c>
      <c r="Q367" s="12">
        <f>(5-WEEKDAY(financials[[#This Row],[Date]],2)+financials[[#This Row],[Date]])</f>
        <v>41789</v>
      </c>
    </row>
    <row r="368" spans="1:17" x14ac:dyDescent="0.25">
      <c r="A368" t="s">
        <v>10</v>
      </c>
      <c r="B368" t="s">
        <v>17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25</v>
      </c>
      <c r="P368" s="13">
        <v>2014</v>
      </c>
      <c r="Q368" s="12">
        <f>(5-WEEKDAY(financials[[#This Row],[Date]],2)+financials[[#This Row],[Date]])</f>
        <v>41824</v>
      </c>
    </row>
    <row r="369" spans="1:17" x14ac:dyDescent="0.25">
      <c r="A369" t="s">
        <v>7</v>
      </c>
      <c r="B369" t="s">
        <v>16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26</v>
      </c>
      <c r="P369" s="13">
        <v>2014</v>
      </c>
      <c r="Q369" s="12">
        <f>(5-WEEKDAY(financials[[#This Row],[Date]],2)+financials[[#This Row],[Date]])</f>
        <v>41852</v>
      </c>
    </row>
    <row r="370" spans="1:17" x14ac:dyDescent="0.25">
      <c r="A370" t="s">
        <v>7</v>
      </c>
      <c r="B370" t="s">
        <v>14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27</v>
      </c>
      <c r="P370" s="13">
        <v>2013</v>
      </c>
      <c r="Q370" s="12">
        <f>(5-WEEKDAY(financials[[#This Row],[Date]],2)+financials[[#This Row],[Date]])</f>
        <v>41516</v>
      </c>
    </row>
    <row r="371" spans="1:17" x14ac:dyDescent="0.25">
      <c r="A371" t="s">
        <v>8</v>
      </c>
      <c r="B371" t="s">
        <v>17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30</v>
      </c>
      <c r="P371" s="13">
        <v>2014</v>
      </c>
      <c r="Q371" s="12">
        <f>(5-WEEKDAY(financials[[#This Row],[Date]],2)+financials[[#This Row],[Date]])</f>
        <v>41978</v>
      </c>
    </row>
    <row r="372" spans="1:17" x14ac:dyDescent="0.25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21</v>
      </c>
      <c r="P372" s="13">
        <v>2014</v>
      </c>
      <c r="Q372" s="12">
        <f>(5-WEEKDAY(financials[[#This Row],[Date]],2)+financials[[#This Row],[Date]])</f>
        <v>41698</v>
      </c>
    </row>
    <row r="373" spans="1:17" x14ac:dyDescent="0.25">
      <c r="A373" t="s">
        <v>10</v>
      </c>
      <c r="B373" t="s">
        <v>17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22</v>
      </c>
      <c r="P373" s="13">
        <v>2014</v>
      </c>
      <c r="Q373" s="12">
        <f>(5-WEEKDAY(financials[[#This Row],[Date]],2)+financials[[#This Row],[Date]])</f>
        <v>41733</v>
      </c>
    </row>
    <row r="374" spans="1:17" x14ac:dyDescent="0.25">
      <c r="A374" t="s">
        <v>10</v>
      </c>
      <c r="B374" t="s">
        <v>17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23</v>
      </c>
      <c r="P374" s="13">
        <v>2014</v>
      </c>
      <c r="Q374" s="12">
        <f>(5-WEEKDAY(financials[[#This Row],[Date]],2)+financials[[#This Row],[Date]])</f>
        <v>41761</v>
      </c>
    </row>
    <row r="375" spans="1:17" x14ac:dyDescent="0.25">
      <c r="A375" t="s">
        <v>10</v>
      </c>
      <c r="B375" t="s">
        <v>17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24</v>
      </c>
      <c r="P375" s="13">
        <v>2014</v>
      </c>
      <c r="Q375" s="12">
        <f>(5-WEEKDAY(financials[[#This Row],[Date]],2)+financials[[#This Row],[Date]])</f>
        <v>41789</v>
      </c>
    </row>
    <row r="376" spans="1:17" x14ac:dyDescent="0.25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24</v>
      </c>
      <c r="P376" s="13">
        <v>2014</v>
      </c>
      <c r="Q376" s="12">
        <f>(5-WEEKDAY(financials[[#This Row],[Date]],2)+financials[[#This Row],[Date]])</f>
        <v>41789</v>
      </c>
    </row>
    <row r="377" spans="1:17" x14ac:dyDescent="0.25">
      <c r="A377" t="s">
        <v>10</v>
      </c>
      <c r="B377" t="s">
        <v>15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26</v>
      </c>
      <c r="P377" s="13">
        <v>2014</v>
      </c>
      <c r="Q377" s="12">
        <f>(5-WEEKDAY(financials[[#This Row],[Date]],2)+financials[[#This Row],[Date]])</f>
        <v>41852</v>
      </c>
    </row>
    <row r="378" spans="1:17" x14ac:dyDescent="0.25">
      <c r="A378" t="s">
        <v>10</v>
      </c>
      <c r="B378" t="s">
        <v>17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26</v>
      </c>
      <c r="P378" s="13">
        <v>2014</v>
      </c>
      <c r="Q378" s="12">
        <f>(5-WEEKDAY(financials[[#This Row],[Date]],2)+financials[[#This Row],[Date]])</f>
        <v>41852</v>
      </c>
    </row>
    <row r="379" spans="1:17" x14ac:dyDescent="0.25">
      <c r="A379" t="s">
        <v>10</v>
      </c>
      <c r="B379" t="s">
        <v>17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27</v>
      </c>
      <c r="P379" s="13">
        <v>2013</v>
      </c>
      <c r="Q379" s="12">
        <f>(5-WEEKDAY(financials[[#This Row],[Date]],2)+financials[[#This Row],[Date]])</f>
        <v>41516</v>
      </c>
    </row>
    <row r="380" spans="1:17" x14ac:dyDescent="0.25">
      <c r="A380" t="s">
        <v>10</v>
      </c>
      <c r="B380" t="s">
        <v>17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27</v>
      </c>
      <c r="P380" s="13">
        <v>2014</v>
      </c>
      <c r="Q380" s="12">
        <f>(5-WEEKDAY(financials[[#This Row],[Date]],2)+financials[[#This Row],[Date]])</f>
        <v>41887</v>
      </c>
    </row>
    <row r="381" spans="1:17" x14ac:dyDescent="0.25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27</v>
      </c>
      <c r="P381" s="13">
        <v>2014</v>
      </c>
      <c r="Q381" s="12">
        <f>(5-WEEKDAY(financials[[#This Row],[Date]],2)+financials[[#This Row],[Date]])</f>
        <v>41887</v>
      </c>
    </row>
    <row r="382" spans="1:17" x14ac:dyDescent="0.25">
      <c r="A382" t="s">
        <v>10</v>
      </c>
      <c r="B382" t="s">
        <v>17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29</v>
      </c>
      <c r="P382" s="13">
        <v>2013</v>
      </c>
      <c r="Q382" s="12">
        <f>(5-WEEKDAY(financials[[#This Row],[Date]],2)+financials[[#This Row],[Date]])</f>
        <v>41579</v>
      </c>
    </row>
    <row r="383" spans="1:17" x14ac:dyDescent="0.25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30</v>
      </c>
      <c r="P383" s="13">
        <v>2013</v>
      </c>
      <c r="Q383" s="12">
        <f>(5-WEEKDAY(financials[[#This Row],[Date]],2)+financials[[#This Row],[Date]])</f>
        <v>41607</v>
      </c>
    </row>
    <row r="384" spans="1:17" x14ac:dyDescent="0.25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30</v>
      </c>
      <c r="P384" s="13">
        <v>2014</v>
      </c>
      <c r="Q384" s="12">
        <f>(5-WEEKDAY(financials[[#This Row],[Date]],2)+financials[[#This Row],[Date]])</f>
        <v>41978</v>
      </c>
    </row>
    <row r="385" spans="1:17" x14ac:dyDescent="0.25">
      <c r="A385" t="s">
        <v>11</v>
      </c>
      <c r="B385" t="s">
        <v>14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21</v>
      </c>
      <c r="P385" s="13">
        <v>2014</v>
      </c>
      <c r="Q385" s="12">
        <f>(5-WEEKDAY(financials[[#This Row],[Date]],2)+financials[[#This Row],[Date]])</f>
        <v>41698</v>
      </c>
    </row>
    <row r="386" spans="1:17" x14ac:dyDescent="0.25">
      <c r="A386" t="s">
        <v>10</v>
      </c>
      <c r="B386" t="s">
        <v>15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24</v>
      </c>
      <c r="P386" s="13">
        <v>2014</v>
      </c>
      <c r="Q386" s="12">
        <f>(5-WEEKDAY(financials[[#This Row],[Date]],2)+financials[[#This Row],[Date]])</f>
        <v>41789</v>
      </c>
    </row>
    <row r="387" spans="1:17" x14ac:dyDescent="0.25">
      <c r="A387" t="s">
        <v>10</v>
      </c>
      <c r="B387" t="s">
        <v>17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24</v>
      </c>
      <c r="P387" s="13">
        <v>2014</v>
      </c>
      <c r="Q387" s="12">
        <f>(5-WEEKDAY(financials[[#This Row],[Date]],2)+financials[[#This Row],[Date]])</f>
        <v>41789</v>
      </c>
    </row>
    <row r="388" spans="1:17" x14ac:dyDescent="0.25">
      <c r="A388" t="s">
        <v>7</v>
      </c>
      <c r="B388" t="s">
        <v>16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29</v>
      </c>
      <c r="P388" s="13">
        <v>2013</v>
      </c>
      <c r="Q388" s="12">
        <f>(5-WEEKDAY(financials[[#This Row],[Date]],2)+financials[[#This Row],[Date]])</f>
        <v>41579</v>
      </c>
    </row>
    <row r="389" spans="1:17" x14ac:dyDescent="0.25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30</v>
      </c>
      <c r="P389" s="13">
        <v>2014</v>
      </c>
      <c r="Q389" s="12">
        <f>(5-WEEKDAY(financials[[#This Row],[Date]],2)+financials[[#This Row],[Date]])</f>
        <v>41978</v>
      </c>
    </row>
    <row r="390" spans="1:17" x14ac:dyDescent="0.25">
      <c r="A390" t="s">
        <v>10</v>
      </c>
      <c r="B390" t="s">
        <v>16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22</v>
      </c>
      <c r="P390" s="13">
        <v>2014</v>
      </c>
      <c r="Q390" s="12">
        <f>(5-WEEKDAY(financials[[#This Row],[Date]],2)+financials[[#This Row],[Date]])</f>
        <v>41733</v>
      </c>
    </row>
    <row r="391" spans="1:17" x14ac:dyDescent="0.25">
      <c r="A391" t="s">
        <v>10</v>
      </c>
      <c r="B391" t="s">
        <v>17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24</v>
      </c>
      <c r="P391" s="13">
        <v>2014</v>
      </c>
      <c r="Q391" s="12">
        <f>(5-WEEKDAY(financials[[#This Row],[Date]],2)+financials[[#This Row],[Date]])</f>
        <v>41789</v>
      </c>
    </row>
    <row r="392" spans="1:17" x14ac:dyDescent="0.25">
      <c r="A392" t="s">
        <v>10</v>
      </c>
      <c r="B392" t="s">
        <v>16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26</v>
      </c>
      <c r="P392" s="13">
        <v>2014</v>
      </c>
      <c r="Q392" s="12">
        <f>(5-WEEKDAY(financials[[#This Row],[Date]],2)+financials[[#This Row],[Date]])</f>
        <v>41852</v>
      </c>
    </row>
    <row r="393" spans="1:17" x14ac:dyDescent="0.25">
      <c r="A393" t="s">
        <v>10</v>
      </c>
      <c r="B393" t="s">
        <v>17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26</v>
      </c>
      <c r="P393" s="13">
        <v>2014</v>
      </c>
      <c r="Q393" s="12">
        <f>(5-WEEKDAY(financials[[#This Row],[Date]],2)+financials[[#This Row],[Date]])</f>
        <v>41852</v>
      </c>
    </row>
    <row r="394" spans="1:17" x14ac:dyDescent="0.25">
      <c r="A394" t="s">
        <v>7</v>
      </c>
      <c r="B394" t="s">
        <v>14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27</v>
      </c>
      <c r="P394" s="13">
        <v>2014</v>
      </c>
      <c r="Q394" s="12">
        <f>(5-WEEKDAY(financials[[#This Row],[Date]],2)+financials[[#This Row],[Date]])</f>
        <v>41887</v>
      </c>
    </row>
    <row r="395" spans="1:17" x14ac:dyDescent="0.25">
      <c r="A395" t="s">
        <v>7</v>
      </c>
      <c r="B395" t="s">
        <v>15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30</v>
      </c>
      <c r="P395" s="13">
        <v>2013</v>
      </c>
      <c r="Q395" s="12">
        <f>(5-WEEKDAY(financials[[#This Row],[Date]],2)+financials[[#This Row],[Date]])</f>
        <v>41607</v>
      </c>
    </row>
    <row r="396" spans="1:17" x14ac:dyDescent="0.25">
      <c r="A396" t="s">
        <v>10</v>
      </c>
      <c r="B396" t="s">
        <v>14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24</v>
      </c>
      <c r="P396" s="13">
        <v>2014</v>
      </c>
      <c r="Q396" s="12">
        <f>(5-WEEKDAY(financials[[#This Row],[Date]],2)+financials[[#This Row],[Date]])</f>
        <v>41789</v>
      </c>
    </row>
    <row r="397" spans="1:17" x14ac:dyDescent="0.25">
      <c r="A397" t="s">
        <v>10</v>
      </c>
      <c r="B397" t="s">
        <v>15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24</v>
      </c>
      <c r="P397" s="13">
        <v>2014</v>
      </c>
      <c r="Q397" s="12">
        <f>(5-WEEKDAY(financials[[#This Row],[Date]],2)+financials[[#This Row],[Date]])</f>
        <v>41789</v>
      </c>
    </row>
    <row r="398" spans="1:17" x14ac:dyDescent="0.25">
      <c r="A398" t="s">
        <v>10</v>
      </c>
      <c r="B398" t="s">
        <v>17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24</v>
      </c>
      <c r="P398" s="13">
        <v>2014</v>
      </c>
      <c r="Q398" s="12">
        <f>(5-WEEKDAY(financials[[#This Row],[Date]],2)+financials[[#This Row],[Date]])</f>
        <v>41789</v>
      </c>
    </row>
    <row r="399" spans="1:17" x14ac:dyDescent="0.25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24</v>
      </c>
      <c r="P399" s="13">
        <v>2014</v>
      </c>
      <c r="Q399" s="12">
        <f>(5-WEEKDAY(financials[[#This Row],[Date]],2)+financials[[#This Row],[Date]])</f>
        <v>41789</v>
      </c>
    </row>
    <row r="400" spans="1:17" x14ac:dyDescent="0.25">
      <c r="A400" t="s">
        <v>10</v>
      </c>
      <c r="B400" t="s">
        <v>17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29</v>
      </c>
      <c r="P400" s="13">
        <v>2014</v>
      </c>
      <c r="Q400" s="12">
        <f>(5-WEEKDAY(financials[[#This Row],[Date]],2)+financials[[#This Row],[Date]])</f>
        <v>41943</v>
      </c>
    </row>
    <row r="401" spans="1:17" x14ac:dyDescent="0.25">
      <c r="A401" t="s">
        <v>8</v>
      </c>
      <c r="B401" t="s">
        <v>17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30</v>
      </c>
      <c r="P401" s="13">
        <v>2014</v>
      </c>
      <c r="Q401" s="12">
        <f>(5-WEEKDAY(financials[[#This Row],[Date]],2)+financials[[#This Row],[Date]])</f>
        <v>41978</v>
      </c>
    </row>
    <row r="402" spans="1:17" x14ac:dyDescent="0.25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30</v>
      </c>
      <c r="P402" s="13">
        <v>2013</v>
      </c>
      <c r="Q402" s="12">
        <f>(5-WEEKDAY(financials[[#This Row],[Date]],2)+financials[[#This Row],[Date]])</f>
        <v>41607</v>
      </c>
    </row>
    <row r="403" spans="1:17" x14ac:dyDescent="0.25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30</v>
      </c>
      <c r="P403" s="13">
        <v>2014</v>
      </c>
      <c r="Q403" s="12">
        <f>(5-WEEKDAY(financials[[#This Row],[Date]],2)+financials[[#This Row],[Date]])</f>
        <v>41978</v>
      </c>
    </row>
    <row r="404" spans="1:17" x14ac:dyDescent="0.25">
      <c r="A404" t="s">
        <v>10</v>
      </c>
      <c r="B404" t="s">
        <v>15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25</v>
      </c>
      <c r="P404" s="13">
        <v>2014</v>
      </c>
      <c r="Q404" s="12">
        <f>(5-WEEKDAY(financials[[#This Row],[Date]],2)+financials[[#This Row],[Date]])</f>
        <v>41824</v>
      </c>
    </row>
    <row r="405" spans="1:17" x14ac:dyDescent="0.25">
      <c r="A405" t="s">
        <v>7</v>
      </c>
      <c r="B405" t="s">
        <v>14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24</v>
      </c>
      <c r="P405" s="13">
        <v>2014</v>
      </c>
      <c r="Q405" s="12">
        <f>(5-WEEKDAY(financials[[#This Row],[Date]],2)+financials[[#This Row],[Date]])</f>
        <v>41789</v>
      </c>
    </row>
    <row r="406" spans="1:17" x14ac:dyDescent="0.25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28</v>
      </c>
      <c r="P406" s="13">
        <v>2013</v>
      </c>
      <c r="Q406" s="12">
        <f>(5-WEEKDAY(financials[[#This Row],[Date]],2)+financials[[#This Row],[Date]])</f>
        <v>41551</v>
      </c>
    </row>
    <row r="407" spans="1:17" x14ac:dyDescent="0.25">
      <c r="A407" t="s">
        <v>7</v>
      </c>
      <c r="B407" t="s">
        <v>14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22</v>
      </c>
      <c r="P407" s="13">
        <v>2014</v>
      </c>
      <c r="Q407" s="12">
        <f>(5-WEEKDAY(financials[[#This Row],[Date]],2)+financials[[#This Row],[Date]])</f>
        <v>41733</v>
      </c>
    </row>
    <row r="408" spans="1:17" x14ac:dyDescent="0.25">
      <c r="A408" t="s">
        <v>10</v>
      </c>
      <c r="B408" t="s">
        <v>16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23</v>
      </c>
      <c r="P408" s="13">
        <v>2014</v>
      </c>
      <c r="Q408" s="12">
        <f>(5-WEEKDAY(financials[[#This Row],[Date]],2)+financials[[#This Row],[Date]])</f>
        <v>41761</v>
      </c>
    </row>
    <row r="409" spans="1:17" x14ac:dyDescent="0.25">
      <c r="A409" t="s">
        <v>7</v>
      </c>
      <c r="B409" t="s">
        <v>16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27</v>
      </c>
      <c r="P409" s="13">
        <v>2013</v>
      </c>
      <c r="Q409" s="12">
        <f>(5-WEEKDAY(financials[[#This Row],[Date]],2)+financials[[#This Row],[Date]])</f>
        <v>41516</v>
      </c>
    </row>
    <row r="410" spans="1:17" x14ac:dyDescent="0.25">
      <c r="A410" t="s">
        <v>11</v>
      </c>
      <c r="B410" t="s">
        <v>14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29</v>
      </c>
      <c r="P410" s="13">
        <v>2014</v>
      </c>
      <c r="Q410" s="12">
        <f>(5-WEEKDAY(financials[[#This Row],[Date]],2)+financials[[#This Row],[Date]])</f>
        <v>41943</v>
      </c>
    </row>
    <row r="411" spans="1:17" x14ac:dyDescent="0.25">
      <c r="A411" t="s">
        <v>9</v>
      </c>
      <c r="B411" t="s">
        <v>16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29</v>
      </c>
      <c r="P411" s="13">
        <v>2013</v>
      </c>
      <c r="Q411" s="12">
        <f>(5-WEEKDAY(financials[[#This Row],[Date]],2)+financials[[#This Row],[Date]])</f>
        <v>41579</v>
      </c>
    </row>
    <row r="412" spans="1:17" x14ac:dyDescent="0.25">
      <c r="A412" t="s">
        <v>10</v>
      </c>
      <c r="B412" t="s">
        <v>14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30</v>
      </c>
      <c r="P412" s="13">
        <v>2013</v>
      </c>
      <c r="Q412" s="12">
        <f>(5-WEEKDAY(financials[[#This Row],[Date]],2)+financials[[#This Row],[Date]])</f>
        <v>41607</v>
      </c>
    </row>
    <row r="413" spans="1:17" x14ac:dyDescent="0.25">
      <c r="A413" t="s">
        <v>9</v>
      </c>
      <c r="B413" t="s">
        <v>15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30</v>
      </c>
      <c r="P413" s="13">
        <v>2014</v>
      </c>
      <c r="Q413" s="12">
        <f>(5-WEEKDAY(financials[[#This Row],[Date]],2)+financials[[#This Row],[Date]])</f>
        <v>41978</v>
      </c>
    </row>
    <row r="414" spans="1:17" x14ac:dyDescent="0.25">
      <c r="A414" t="s">
        <v>7</v>
      </c>
      <c r="B414" t="s">
        <v>17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30</v>
      </c>
      <c r="P414" s="13">
        <v>2013</v>
      </c>
      <c r="Q414" s="12">
        <f>(5-WEEKDAY(financials[[#This Row],[Date]],2)+financials[[#This Row],[Date]])</f>
        <v>41607</v>
      </c>
    </row>
    <row r="415" spans="1:17" x14ac:dyDescent="0.25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19</v>
      </c>
      <c r="P415" s="13">
        <v>2014</v>
      </c>
      <c r="Q415" s="12">
        <f>(5-WEEKDAY(financials[[#This Row],[Date]],2)+financials[[#This Row],[Date]])</f>
        <v>41642</v>
      </c>
    </row>
    <row r="416" spans="1:17" x14ac:dyDescent="0.25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19</v>
      </c>
      <c r="P416" s="13">
        <v>2014</v>
      </c>
      <c r="Q416" s="12">
        <f>(5-WEEKDAY(financials[[#This Row],[Date]],2)+financials[[#This Row],[Date]])</f>
        <v>41642</v>
      </c>
    </row>
    <row r="417" spans="1:17" x14ac:dyDescent="0.25">
      <c r="A417" t="s">
        <v>8</v>
      </c>
      <c r="B417" t="s">
        <v>15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22</v>
      </c>
      <c r="P417" s="13">
        <v>2014</v>
      </c>
      <c r="Q417" s="12">
        <f>(5-WEEKDAY(financials[[#This Row],[Date]],2)+financials[[#This Row],[Date]])</f>
        <v>41733</v>
      </c>
    </row>
    <row r="418" spans="1:17" x14ac:dyDescent="0.25">
      <c r="A418" t="s">
        <v>7</v>
      </c>
      <c r="B418" t="s">
        <v>14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24</v>
      </c>
      <c r="P418" s="13">
        <v>2014</v>
      </c>
      <c r="Q418" s="12">
        <f>(5-WEEKDAY(financials[[#This Row],[Date]],2)+financials[[#This Row],[Date]])</f>
        <v>41789</v>
      </c>
    </row>
    <row r="419" spans="1:17" x14ac:dyDescent="0.25">
      <c r="A419" t="s">
        <v>8</v>
      </c>
      <c r="B419" t="s">
        <v>16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28</v>
      </c>
      <c r="P419" s="13">
        <v>2014</v>
      </c>
      <c r="Q419" s="12">
        <f>(5-WEEKDAY(financials[[#This Row],[Date]],2)+financials[[#This Row],[Date]])</f>
        <v>41915</v>
      </c>
    </row>
    <row r="420" spans="1:17" x14ac:dyDescent="0.25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28</v>
      </c>
      <c r="P420" s="13">
        <v>2013</v>
      </c>
      <c r="Q420" s="12">
        <f>(5-WEEKDAY(financials[[#This Row],[Date]],2)+financials[[#This Row],[Date]])</f>
        <v>41551</v>
      </c>
    </row>
    <row r="421" spans="1:17" x14ac:dyDescent="0.25">
      <c r="A421" t="s">
        <v>7</v>
      </c>
      <c r="B421" t="s">
        <v>16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29</v>
      </c>
      <c r="P421" s="13">
        <v>2014</v>
      </c>
      <c r="Q421" s="12">
        <f>(5-WEEKDAY(financials[[#This Row],[Date]],2)+financials[[#This Row],[Date]])</f>
        <v>41943</v>
      </c>
    </row>
    <row r="422" spans="1:17" x14ac:dyDescent="0.25">
      <c r="A422" t="s">
        <v>11</v>
      </c>
      <c r="B422" t="s">
        <v>17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29</v>
      </c>
      <c r="P422" s="13">
        <v>2013</v>
      </c>
      <c r="Q422" s="12">
        <f>(5-WEEKDAY(financials[[#This Row],[Date]],2)+financials[[#This Row],[Date]])</f>
        <v>41579</v>
      </c>
    </row>
    <row r="423" spans="1:17" x14ac:dyDescent="0.25">
      <c r="A423" t="s">
        <v>9</v>
      </c>
      <c r="B423" t="s">
        <v>15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30</v>
      </c>
      <c r="P423" s="13">
        <v>2014</v>
      </c>
      <c r="Q423" s="12">
        <f>(5-WEEKDAY(financials[[#This Row],[Date]],2)+financials[[#This Row],[Date]])</f>
        <v>41978</v>
      </c>
    </row>
    <row r="424" spans="1:17" x14ac:dyDescent="0.25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23</v>
      </c>
      <c r="P424" s="13">
        <v>2014</v>
      </c>
      <c r="Q424" s="12">
        <f>(5-WEEKDAY(financials[[#This Row],[Date]],2)+financials[[#This Row],[Date]])</f>
        <v>41761</v>
      </c>
    </row>
    <row r="425" spans="1:17" x14ac:dyDescent="0.25">
      <c r="A425" t="s">
        <v>7</v>
      </c>
      <c r="B425" t="s">
        <v>14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25</v>
      </c>
      <c r="P425" s="13">
        <v>2014</v>
      </c>
      <c r="Q425" s="12">
        <f>(5-WEEKDAY(financials[[#This Row],[Date]],2)+financials[[#This Row],[Date]])</f>
        <v>41824</v>
      </c>
    </row>
    <row r="426" spans="1:17" x14ac:dyDescent="0.25">
      <c r="A426" t="s">
        <v>10</v>
      </c>
      <c r="B426" t="s">
        <v>17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25</v>
      </c>
      <c r="P426" s="13">
        <v>2014</v>
      </c>
      <c r="Q426" s="12">
        <f>(5-WEEKDAY(financials[[#This Row],[Date]],2)+financials[[#This Row],[Date]])</f>
        <v>41824</v>
      </c>
    </row>
    <row r="427" spans="1:17" x14ac:dyDescent="0.25">
      <c r="A427" t="s">
        <v>9</v>
      </c>
      <c r="B427" t="s">
        <v>14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27</v>
      </c>
      <c r="P427" s="13">
        <v>2014</v>
      </c>
      <c r="Q427" s="12">
        <f>(5-WEEKDAY(financials[[#This Row],[Date]],2)+financials[[#This Row],[Date]])</f>
        <v>41887</v>
      </c>
    </row>
    <row r="428" spans="1:17" x14ac:dyDescent="0.25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27</v>
      </c>
      <c r="P428" s="13">
        <v>2014</v>
      </c>
      <c r="Q428" s="12">
        <f>(5-WEEKDAY(financials[[#This Row],[Date]],2)+financials[[#This Row],[Date]])</f>
        <v>41887</v>
      </c>
    </row>
    <row r="429" spans="1:17" x14ac:dyDescent="0.25">
      <c r="A429" t="s">
        <v>10</v>
      </c>
      <c r="B429" t="s">
        <v>14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28</v>
      </c>
      <c r="P429" s="13">
        <v>2014</v>
      </c>
      <c r="Q429" s="12">
        <f>(5-WEEKDAY(financials[[#This Row],[Date]],2)+financials[[#This Row],[Date]])</f>
        <v>41915</v>
      </c>
    </row>
    <row r="430" spans="1:17" x14ac:dyDescent="0.25">
      <c r="A430" t="s">
        <v>11</v>
      </c>
      <c r="B430" t="s">
        <v>15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19</v>
      </c>
      <c r="P430" s="13">
        <v>2014</v>
      </c>
      <c r="Q430" s="12">
        <f>(5-WEEKDAY(financials[[#This Row],[Date]],2)+financials[[#This Row],[Date]])</f>
        <v>41642</v>
      </c>
    </row>
    <row r="431" spans="1:17" x14ac:dyDescent="0.25">
      <c r="A431" t="s">
        <v>7</v>
      </c>
      <c r="B431" t="s">
        <v>17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20</v>
      </c>
      <c r="P431" s="13">
        <v>2014</v>
      </c>
      <c r="Q431" s="12">
        <f>(5-WEEKDAY(financials[[#This Row],[Date]],2)+financials[[#This Row],[Date]])</f>
        <v>41670</v>
      </c>
    </row>
    <row r="432" spans="1:17" x14ac:dyDescent="0.25">
      <c r="A432" t="s">
        <v>10</v>
      </c>
      <c r="B432" t="s">
        <v>15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22</v>
      </c>
      <c r="P432" s="13">
        <v>2014</v>
      </c>
      <c r="Q432" s="12">
        <f>(5-WEEKDAY(financials[[#This Row],[Date]],2)+financials[[#This Row],[Date]])</f>
        <v>41733</v>
      </c>
    </row>
    <row r="433" spans="1:17" x14ac:dyDescent="0.25">
      <c r="A433" t="s">
        <v>11</v>
      </c>
      <c r="B433" t="s">
        <v>17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23</v>
      </c>
      <c r="P433" s="13">
        <v>2014</v>
      </c>
      <c r="Q433" s="12">
        <f>(5-WEEKDAY(financials[[#This Row],[Date]],2)+financials[[#This Row],[Date]])</f>
        <v>41761</v>
      </c>
    </row>
    <row r="434" spans="1:17" x14ac:dyDescent="0.25">
      <c r="A434" t="s">
        <v>7</v>
      </c>
      <c r="B434" t="s">
        <v>15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27</v>
      </c>
      <c r="P434" s="13">
        <v>2014</v>
      </c>
      <c r="Q434" s="12">
        <f>(5-WEEKDAY(financials[[#This Row],[Date]],2)+financials[[#This Row],[Date]])</f>
        <v>41887</v>
      </c>
    </row>
    <row r="435" spans="1:17" x14ac:dyDescent="0.25">
      <c r="A435" t="s">
        <v>11</v>
      </c>
      <c r="B435" t="s">
        <v>16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27</v>
      </c>
      <c r="P435" s="13">
        <v>2013</v>
      </c>
      <c r="Q435" s="12">
        <f>(5-WEEKDAY(financials[[#This Row],[Date]],2)+financials[[#This Row],[Date]])</f>
        <v>41516</v>
      </c>
    </row>
    <row r="436" spans="1:17" x14ac:dyDescent="0.25">
      <c r="A436" t="s">
        <v>8</v>
      </c>
      <c r="B436" t="s">
        <v>16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28</v>
      </c>
      <c r="P436" s="13">
        <v>2014</v>
      </c>
      <c r="Q436" s="12">
        <f>(5-WEEKDAY(financials[[#This Row],[Date]],2)+financials[[#This Row],[Date]])</f>
        <v>41915</v>
      </c>
    </row>
    <row r="437" spans="1:17" x14ac:dyDescent="0.25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29</v>
      </c>
      <c r="P437" s="13">
        <v>2014</v>
      </c>
      <c r="Q437" s="12">
        <f>(5-WEEKDAY(financials[[#This Row],[Date]],2)+financials[[#This Row],[Date]])</f>
        <v>41943</v>
      </c>
    </row>
    <row r="438" spans="1:17" x14ac:dyDescent="0.25">
      <c r="A438" t="s">
        <v>10</v>
      </c>
      <c r="B438" t="s">
        <v>15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27</v>
      </c>
      <c r="P438" s="13">
        <v>2014</v>
      </c>
      <c r="Q438" s="12">
        <f>(5-WEEKDAY(financials[[#This Row],[Date]],2)+financials[[#This Row],[Date]])</f>
        <v>41887</v>
      </c>
    </row>
    <row r="439" spans="1:17" x14ac:dyDescent="0.25">
      <c r="A439" t="s">
        <v>10</v>
      </c>
      <c r="B439" t="s">
        <v>14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28</v>
      </c>
      <c r="P439" s="13">
        <v>2014</v>
      </c>
      <c r="Q439" s="12">
        <f>(5-WEEKDAY(financials[[#This Row],[Date]],2)+financials[[#This Row],[Date]])</f>
        <v>41915</v>
      </c>
    </row>
    <row r="440" spans="1:17" x14ac:dyDescent="0.25">
      <c r="A440" t="s">
        <v>8</v>
      </c>
      <c r="B440" t="s">
        <v>17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29</v>
      </c>
      <c r="P440" s="13">
        <v>2013</v>
      </c>
      <c r="Q440" s="12">
        <f>(5-WEEKDAY(financials[[#This Row],[Date]],2)+financials[[#This Row],[Date]])</f>
        <v>41579</v>
      </c>
    </row>
    <row r="441" spans="1:17" x14ac:dyDescent="0.25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29</v>
      </c>
      <c r="P441" s="13">
        <v>2014</v>
      </c>
      <c r="Q441" s="12">
        <f>(5-WEEKDAY(financials[[#This Row],[Date]],2)+financials[[#This Row],[Date]])</f>
        <v>41943</v>
      </c>
    </row>
    <row r="442" spans="1:17" x14ac:dyDescent="0.25">
      <c r="A442" t="s">
        <v>10</v>
      </c>
      <c r="B442" t="s">
        <v>17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23</v>
      </c>
      <c r="P442" s="13">
        <v>2014</v>
      </c>
      <c r="Q442" s="12">
        <f>(5-WEEKDAY(financials[[#This Row],[Date]],2)+financials[[#This Row],[Date]])</f>
        <v>41761</v>
      </c>
    </row>
    <row r="443" spans="1:17" x14ac:dyDescent="0.25">
      <c r="A443" t="s">
        <v>10</v>
      </c>
      <c r="B443" t="s">
        <v>14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25</v>
      </c>
      <c r="P443" s="13">
        <v>2014</v>
      </c>
      <c r="Q443" s="12">
        <f>(5-WEEKDAY(financials[[#This Row],[Date]],2)+financials[[#This Row],[Date]])</f>
        <v>41824</v>
      </c>
    </row>
    <row r="444" spans="1:17" x14ac:dyDescent="0.25">
      <c r="A444" t="s">
        <v>11</v>
      </c>
      <c r="B444" t="s">
        <v>17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27</v>
      </c>
      <c r="P444" s="13">
        <v>2014</v>
      </c>
      <c r="Q444" s="12">
        <f>(5-WEEKDAY(financials[[#This Row],[Date]],2)+financials[[#This Row],[Date]])</f>
        <v>41887</v>
      </c>
    </row>
    <row r="445" spans="1:17" x14ac:dyDescent="0.25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30</v>
      </c>
      <c r="P445" s="13">
        <v>2014</v>
      </c>
      <c r="Q445" s="12">
        <f>(5-WEEKDAY(financials[[#This Row],[Date]],2)+financials[[#This Row],[Date]])</f>
        <v>41978</v>
      </c>
    </row>
    <row r="446" spans="1:17" x14ac:dyDescent="0.25">
      <c r="A446" t="s">
        <v>10</v>
      </c>
      <c r="B446" t="s">
        <v>15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21</v>
      </c>
      <c r="P446" s="13">
        <v>2014</v>
      </c>
      <c r="Q446" s="12">
        <f>(5-WEEKDAY(financials[[#This Row],[Date]],2)+financials[[#This Row],[Date]])</f>
        <v>41698</v>
      </c>
    </row>
    <row r="447" spans="1:17" x14ac:dyDescent="0.25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24</v>
      </c>
      <c r="P447" s="13">
        <v>2014</v>
      </c>
      <c r="Q447" s="12">
        <f>(5-WEEKDAY(financials[[#This Row],[Date]],2)+financials[[#This Row],[Date]])</f>
        <v>41789</v>
      </c>
    </row>
    <row r="448" spans="1:17" x14ac:dyDescent="0.25">
      <c r="A448" t="s">
        <v>10</v>
      </c>
      <c r="B448" t="s">
        <v>17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28</v>
      </c>
      <c r="P448" s="13">
        <v>2014</v>
      </c>
      <c r="Q448" s="12">
        <f>(5-WEEKDAY(financials[[#This Row],[Date]],2)+financials[[#This Row],[Date]])</f>
        <v>41915</v>
      </c>
    </row>
    <row r="449" spans="1:17" x14ac:dyDescent="0.25">
      <c r="A449" t="s">
        <v>11</v>
      </c>
      <c r="B449" t="s">
        <v>16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21</v>
      </c>
      <c r="P449" s="13">
        <v>2014</v>
      </c>
      <c r="Q449" s="12">
        <f>(5-WEEKDAY(financials[[#This Row],[Date]],2)+financials[[#This Row],[Date]])</f>
        <v>41698</v>
      </c>
    </row>
    <row r="450" spans="1:17" x14ac:dyDescent="0.25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22</v>
      </c>
      <c r="P450" s="13">
        <v>2014</v>
      </c>
      <c r="Q450" s="12">
        <f>(5-WEEKDAY(financials[[#This Row],[Date]],2)+financials[[#This Row],[Date]])</f>
        <v>41733</v>
      </c>
    </row>
    <row r="451" spans="1:17" x14ac:dyDescent="0.25">
      <c r="A451" t="s">
        <v>10</v>
      </c>
      <c r="B451" t="s">
        <v>17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28</v>
      </c>
      <c r="P451" s="13">
        <v>2014</v>
      </c>
      <c r="Q451" s="12">
        <f>(5-WEEKDAY(financials[[#This Row],[Date]],2)+financials[[#This Row],[Date]])</f>
        <v>41915</v>
      </c>
    </row>
    <row r="452" spans="1:17" x14ac:dyDescent="0.25">
      <c r="A452" t="s">
        <v>10</v>
      </c>
      <c r="B452" t="s">
        <v>16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29</v>
      </c>
      <c r="P452" s="13">
        <v>2013</v>
      </c>
      <c r="Q452" s="12">
        <f>(5-WEEKDAY(financials[[#This Row],[Date]],2)+financials[[#This Row],[Date]])</f>
        <v>41579</v>
      </c>
    </row>
    <row r="453" spans="1:17" x14ac:dyDescent="0.25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30</v>
      </c>
      <c r="P453" s="13">
        <v>2014</v>
      </c>
      <c r="Q453" s="12">
        <f>(5-WEEKDAY(financials[[#This Row],[Date]],2)+financials[[#This Row],[Date]])</f>
        <v>41978</v>
      </c>
    </row>
    <row r="454" spans="1:17" x14ac:dyDescent="0.25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24</v>
      </c>
      <c r="P454" s="13">
        <v>2014</v>
      </c>
      <c r="Q454" s="12">
        <f>(5-WEEKDAY(financials[[#This Row],[Date]],2)+financials[[#This Row],[Date]])</f>
        <v>41789</v>
      </c>
    </row>
    <row r="455" spans="1:17" x14ac:dyDescent="0.25">
      <c r="A455" t="s">
        <v>8</v>
      </c>
      <c r="B455" t="s">
        <v>14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25</v>
      </c>
      <c r="P455" s="13">
        <v>2014</v>
      </c>
      <c r="Q455" s="12">
        <f>(5-WEEKDAY(financials[[#This Row],[Date]],2)+financials[[#This Row],[Date]])</f>
        <v>41824</v>
      </c>
    </row>
    <row r="456" spans="1:17" x14ac:dyDescent="0.25">
      <c r="A456" t="s">
        <v>11</v>
      </c>
      <c r="B456" t="s">
        <v>16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30</v>
      </c>
      <c r="P456" s="13">
        <v>2013</v>
      </c>
      <c r="Q456" s="12">
        <f>(5-WEEKDAY(financials[[#This Row],[Date]],2)+financials[[#This Row],[Date]])</f>
        <v>41607</v>
      </c>
    </row>
    <row r="457" spans="1:17" x14ac:dyDescent="0.25">
      <c r="A457" t="s">
        <v>11</v>
      </c>
      <c r="B457" t="s">
        <v>15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28</v>
      </c>
      <c r="P457" s="13">
        <v>2013</v>
      </c>
      <c r="Q457" s="12">
        <f>(5-WEEKDAY(financials[[#This Row],[Date]],2)+financials[[#This Row],[Date]])</f>
        <v>41551</v>
      </c>
    </row>
    <row r="458" spans="1:17" x14ac:dyDescent="0.25">
      <c r="A458" t="s">
        <v>10</v>
      </c>
      <c r="B458" t="s">
        <v>15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27</v>
      </c>
      <c r="P458" s="13">
        <v>2014</v>
      </c>
      <c r="Q458" s="12">
        <f>(5-WEEKDAY(financials[[#This Row],[Date]],2)+financials[[#This Row],[Date]])</f>
        <v>41887</v>
      </c>
    </row>
    <row r="459" spans="1:17" x14ac:dyDescent="0.25">
      <c r="A459" t="s">
        <v>11</v>
      </c>
      <c r="B459" t="s">
        <v>15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28</v>
      </c>
      <c r="P459" s="13">
        <v>2013</v>
      </c>
      <c r="Q459" s="12">
        <f>(5-WEEKDAY(financials[[#This Row],[Date]],2)+financials[[#This Row],[Date]])</f>
        <v>41551</v>
      </c>
    </row>
    <row r="460" spans="1:17" x14ac:dyDescent="0.25">
      <c r="A460" t="s">
        <v>9</v>
      </c>
      <c r="B460" t="s">
        <v>15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22</v>
      </c>
      <c r="P460" s="13">
        <v>2014</v>
      </c>
      <c r="Q460" s="12">
        <f>(5-WEEKDAY(financials[[#This Row],[Date]],2)+financials[[#This Row],[Date]])</f>
        <v>41733</v>
      </c>
    </row>
    <row r="461" spans="1:17" x14ac:dyDescent="0.25">
      <c r="A461" t="s">
        <v>9</v>
      </c>
      <c r="B461" t="s">
        <v>16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30</v>
      </c>
      <c r="P461" s="13">
        <v>2013</v>
      </c>
      <c r="Q461" s="12">
        <f>(5-WEEKDAY(financials[[#This Row],[Date]],2)+financials[[#This Row],[Date]])</f>
        <v>41607</v>
      </c>
    </row>
    <row r="462" spans="1:17" x14ac:dyDescent="0.25">
      <c r="A462" t="s">
        <v>10</v>
      </c>
      <c r="B462" t="s">
        <v>15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23</v>
      </c>
      <c r="P462" s="13">
        <v>2014</v>
      </c>
      <c r="Q462" s="12">
        <f>(5-WEEKDAY(financials[[#This Row],[Date]],2)+financials[[#This Row],[Date]])</f>
        <v>41761</v>
      </c>
    </row>
    <row r="463" spans="1:17" x14ac:dyDescent="0.25">
      <c r="A463" t="s">
        <v>9</v>
      </c>
      <c r="B463" t="s">
        <v>15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29</v>
      </c>
      <c r="P463" s="13">
        <v>2013</v>
      </c>
      <c r="Q463" s="12">
        <f>(5-WEEKDAY(financials[[#This Row],[Date]],2)+financials[[#This Row],[Date]])</f>
        <v>41579</v>
      </c>
    </row>
    <row r="464" spans="1:17" x14ac:dyDescent="0.25">
      <c r="A464" t="s">
        <v>8</v>
      </c>
      <c r="B464" t="s">
        <v>16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30</v>
      </c>
      <c r="P464" s="13">
        <v>2014</v>
      </c>
      <c r="Q464" s="12">
        <f>(5-WEEKDAY(financials[[#This Row],[Date]],2)+financials[[#This Row],[Date]])</f>
        <v>41978</v>
      </c>
    </row>
    <row r="465" spans="1:17" x14ac:dyDescent="0.25">
      <c r="A465" t="s">
        <v>10</v>
      </c>
      <c r="B465" t="s">
        <v>16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21</v>
      </c>
      <c r="P465" s="13">
        <v>2014</v>
      </c>
      <c r="Q465" s="12">
        <f>(5-WEEKDAY(financials[[#This Row],[Date]],2)+financials[[#This Row],[Date]])</f>
        <v>41698</v>
      </c>
    </row>
    <row r="466" spans="1:17" x14ac:dyDescent="0.25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23</v>
      </c>
      <c r="P466" s="13">
        <v>2014</v>
      </c>
      <c r="Q466" s="12">
        <f>(5-WEEKDAY(financials[[#This Row],[Date]],2)+financials[[#This Row],[Date]])</f>
        <v>41761</v>
      </c>
    </row>
    <row r="467" spans="1:17" x14ac:dyDescent="0.25">
      <c r="A467" t="s">
        <v>8</v>
      </c>
      <c r="B467" t="s">
        <v>16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28</v>
      </c>
      <c r="P467" s="13">
        <v>2013</v>
      </c>
      <c r="Q467" s="12">
        <f>(5-WEEKDAY(financials[[#This Row],[Date]],2)+financials[[#This Row],[Date]])</f>
        <v>41551</v>
      </c>
    </row>
    <row r="468" spans="1:17" x14ac:dyDescent="0.25">
      <c r="A468" t="s">
        <v>10</v>
      </c>
      <c r="B468" t="s">
        <v>17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28</v>
      </c>
      <c r="P468" s="13">
        <v>2014</v>
      </c>
      <c r="Q468" s="12">
        <f>(5-WEEKDAY(financials[[#This Row],[Date]],2)+financials[[#This Row],[Date]])</f>
        <v>41915</v>
      </c>
    </row>
    <row r="469" spans="1:17" x14ac:dyDescent="0.25">
      <c r="A469" t="s">
        <v>8</v>
      </c>
      <c r="B469" t="s">
        <v>17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19</v>
      </c>
      <c r="P469" s="13">
        <v>2014</v>
      </c>
      <c r="Q469" s="12">
        <f>(5-WEEKDAY(financials[[#This Row],[Date]],2)+financials[[#This Row],[Date]])</f>
        <v>41642</v>
      </c>
    </row>
    <row r="470" spans="1:17" x14ac:dyDescent="0.25">
      <c r="A470" t="s">
        <v>8</v>
      </c>
      <c r="B470" t="s">
        <v>17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22</v>
      </c>
      <c r="P470" s="13">
        <v>2014</v>
      </c>
      <c r="Q470" s="12">
        <f>(5-WEEKDAY(financials[[#This Row],[Date]],2)+financials[[#This Row],[Date]])</f>
        <v>41733</v>
      </c>
    </row>
    <row r="471" spans="1:17" x14ac:dyDescent="0.25">
      <c r="A471" t="s">
        <v>8</v>
      </c>
      <c r="B471" t="s">
        <v>15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23</v>
      </c>
      <c r="P471" s="13">
        <v>2014</v>
      </c>
      <c r="Q471" s="12">
        <f>(5-WEEKDAY(financials[[#This Row],[Date]],2)+financials[[#This Row],[Date]])</f>
        <v>41761</v>
      </c>
    </row>
    <row r="472" spans="1:17" x14ac:dyDescent="0.25">
      <c r="A472" t="s">
        <v>10</v>
      </c>
      <c r="B472" t="s">
        <v>16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25</v>
      </c>
      <c r="P472" s="13">
        <v>2014</v>
      </c>
      <c r="Q472" s="12">
        <f>(5-WEEKDAY(financials[[#This Row],[Date]],2)+financials[[#This Row],[Date]])</f>
        <v>41824</v>
      </c>
    </row>
    <row r="473" spans="1:17" x14ac:dyDescent="0.25">
      <c r="A473" t="s">
        <v>9</v>
      </c>
      <c r="B473" t="s">
        <v>15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27</v>
      </c>
      <c r="P473" s="13">
        <v>2014</v>
      </c>
      <c r="Q473" s="12">
        <f>(5-WEEKDAY(financials[[#This Row],[Date]],2)+financials[[#This Row],[Date]])</f>
        <v>41887</v>
      </c>
    </row>
    <row r="474" spans="1:17" x14ac:dyDescent="0.25">
      <c r="A474" t="s">
        <v>7</v>
      </c>
      <c r="B474" t="s">
        <v>15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28</v>
      </c>
      <c r="P474" s="13">
        <v>2013</v>
      </c>
      <c r="Q474" s="12">
        <f>(5-WEEKDAY(financials[[#This Row],[Date]],2)+financials[[#This Row],[Date]])</f>
        <v>41551</v>
      </c>
    </row>
    <row r="475" spans="1:17" x14ac:dyDescent="0.25">
      <c r="A475" t="s">
        <v>10</v>
      </c>
      <c r="B475" t="s">
        <v>17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28</v>
      </c>
      <c r="P475" s="13">
        <v>2014</v>
      </c>
      <c r="Q475" s="12">
        <f>(5-WEEKDAY(financials[[#This Row],[Date]],2)+financials[[#This Row],[Date]])</f>
        <v>41915</v>
      </c>
    </row>
    <row r="476" spans="1:17" x14ac:dyDescent="0.25">
      <c r="A476" t="s">
        <v>10</v>
      </c>
      <c r="B476" t="s">
        <v>17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29</v>
      </c>
      <c r="P476" s="13">
        <v>2014</v>
      </c>
      <c r="Q476" s="12">
        <f>(5-WEEKDAY(financials[[#This Row],[Date]],2)+financials[[#This Row],[Date]])</f>
        <v>41943</v>
      </c>
    </row>
    <row r="477" spans="1:17" x14ac:dyDescent="0.25">
      <c r="A477" t="s">
        <v>9</v>
      </c>
      <c r="B477" t="s">
        <v>14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30</v>
      </c>
      <c r="P477" s="13">
        <v>2013</v>
      </c>
      <c r="Q477" s="12">
        <f>(5-WEEKDAY(financials[[#This Row],[Date]],2)+financials[[#This Row],[Date]])</f>
        <v>41607</v>
      </c>
    </row>
    <row r="478" spans="1:17" x14ac:dyDescent="0.25">
      <c r="A478" t="s">
        <v>7</v>
      </c>
      <c r="B478" t="s">
        <v>16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30</v>
      </c>
      <c r="P478" s="13">
        <v>2014</v>
      </c>
      <c r="Q478" s="12">
        <f>(5-WEEKDAY(financials[[#This Row],[Date]],2)+financials[[#This Row],[Date]])</f>
        <v>41978</v>
      </c>
    </row>
    <row r="479" spans="1:17" x14ac:dyDescent="0.25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23</v>
      </c>
      <c r="P479" s="13">
        <v>2014</v>
      </c>
      <c r="Q479" s="12">
        <f>(5-WEEKDAY(financials[[#This Row],[Date]],2)+financials[[#This Row],[Date]])</f>
        <v>41761</v>
      </c>
    </row>
    <row r="480" spans="1:17" x14ac:dyDescent="0.25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25</v>
      </c>
      <c r="P480" s="13">
        <v>2014</v>
      </c>
      <c r="Q480" s="12">
        <f>(5-WEEKDAY(financials[[#This Row],[Date]],2)+financials[[#This Row],[Date]])</f>
        <v>41824</v>
      </c>
    </row>
    <row r="481" spans="1:17" x14ac:dyDescent="0.25">
      <c r="A481" t="s">
        <v>10</v>
      </c>
      <c r="B481" t="s">
        <v>15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26</v>
      </c>
      <c r="P481" s="13">
        <v>2014</v>
      </c>
      <c r="Q481" s="12">
        <f>(5-WEEKDAY(financials[[#This Row],[Date]],2)+financials[[#This Row],[Date]])</f>
        <v>41852</v>
      </c>
    </row>
    <row r="482" spans="1:17" x14ac:dyDescent="0.25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27</v>
      </c>
      <c r="P482" s="13">
        <v>2014</v>
      </c>
      <c r="Q482" s="12">
        <f>(5-WEEKDAY(financials[[#This Row],[Date]],2)+financials[[#This Row],[Date]])</f>
        <v>41887</v>
      </c>
    </row>
    <row r="483" spans="1:17" x14ac:dyDescent="0.25">
      <c r="A483" t="s">
        <v>7</v>
      </c>
      <c r="B483" t="s">
        <v>15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28</v>
      </c>
      <c r="P483" s="13">
        <v>2013</v>
      </c>
      <c r="Q483" s="12">
        <f>(5-WEEKDAY(financials[[#This Row],[Date]],2)+financials[[#This Row],[Date]])</f>
        <v>41551</v>
      </c>
    </row>
    <row r="484" spans="1:17" x14ac:dyDescent="0.25">
      <c r="A484" t="s">
        <v>8</v>
      </c>
      <c r="B484" t="s">
        <v>16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28</v>
      </c>
      <c r="P484" s="13">
        <v>2013</v>
      </c>
      <c r="Q484" s="12">
        <f>(5-WEEKDAY(financials[[#This Row],[Date]],2)+financials[[#This Row],[Date]])</f>
        <v>41551</v>
      </c>
    </row>
    <row r="485" spans="1:17" x14ac:dyDescent="0.25">
      <c r="A485" t="s">
        <v>9</v>
      </c>
      <c r="B485" t="s">
        <v>14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29</v>
      </c>
      <c r="P485" s="13">
        <v>2014</v>
      </c>
      <c r="Q485" s="12">
        <f>(5-WEEKDAY(financials[[#This Row],[Date]],2)+financials[[#This Row],[Date]])</f>
        <v>41943</v>
      </c>
    </row>
    <row r="486" spans="1:17" x14ac:dyDescent="0.25">
      <c r="A486" t="s">
        <v>10</v>
      </c>
      <c r="B486" t="s">
        <v>17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30</v>
      </c>
      <c r="P486" s="13">
        <v>2013</v>
      </c>
      <c r="Q486" s="12">
        <f>(5-WEEKDAY(financials[[#This Row],[Date]],2)+financials[[#This Row],[Date]])</f>
        <v>41607</v>
      </c>
    </row>
    <row r="487" spans="1:17" x14ac:dyDescent="0.25">
      <c r="A487" t="s">
        <v>9</v>
      </c>
      <c r="B487" t="s">
        <v>15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19</v>
      </c>
      <c r="P487" s="13">
        <v>2014</v>
      </c>
      <c r="Q487" s="12">
        <f>(5-WEEKDAY(financials[[#This Row],[Date]],2)+financials[[#This Row],[Date]])</f>
        <v>41642</v>
      </c>
    </row>
    <row r="488" spans="1:17" x14ac:dyDescent="0.25">
      <c r="A488" t="s">
        <v>10</v>
      </c>
      <c r="B488" t="s">
        <v>14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20</v>
      </c>
      <c r="P488" s="13">
        <v>2014</v>
      </c>
      <c r="Q488" s="12">
        <f>(5-WEEKDAY(financials[[#This Row],[Date]],2)+financials[[#This Row],[Date]])</f>
        <v>41670</v>
      </c>
    </row>
    <row r="489" spans="1:17" x14ac:dyDescent="0.25">
      <c r="A489" t="s">
        <v>7</v>
      </c>
      <c r="B489" t="s">
        <v>15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21</v>
      </c>
      <c r="P489" s="13">
        <v>2014</v>
      </c>
      <c r="Q489" s="12">
        <f>(5-WEEKDAY(financials[[#This Row],[Date]],2)+financials[[#This Row],[Date]])</f>
        <v>41698</v>
      </c>
    </row>
    <row r="490" spans="1:17" x14ac:dyDescent="0.25">
      <c r="A490" t="s">
        <v>11</v>
      </c>
      <c r="B490" t="s">
        <v>14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22</v>
      </c>
      <c r="P490" s="13">
        <v>2014</v>
      </c>
      <c r="Q490" s="12">
        <f>(5-WEEKDAY(financials[[#This Row],[Date]],2)+financials[[#This Row],[Date]])</f>
        <v>41733</v>
      </c>
    </row>
    <row r="491" spans="1:17" x14ac:dyDescent="0.25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23</v>
      </c>
      <c r="P491" s="13">
        <v>2014</v>
      </c>
      <c r="Q491" s="12">
        <f>(5-WEEKDAY(financials[[#This Row],[Date]],2)+financials[[#This Row],[Date]])</f>
        <v>41761</v>
      </c>
    </row>
    <row r="492" spans="1:17" x14ac:dyDescent="0.25">
      <c r="A492" t="s">
        <v>11</v>
      </c>
      <c r="B492" t="s">
        <v>17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26</v>
      </c>
      <c r="P492" s="13">
        <v>2014</v>
      </c>
      <c r="Q492" s="12">
        <f>(5-WEEKDAY(financials[[#This Row],[Date]],2)+financials[[#This Row],[Date]])</f>
        <v>41852</v>
      </c>
    </row>
    <row r="493" spans="1:17" x14ac:dyDescent="0.25">
      <c r="A493" t="s">
        <v>10</v>
      </c>
      <c r="B493" t="s">
        <v>14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27</v>
      </c>
      <c r="P493" s="13">
        <v>2014</v>
      </c>
      <c r="Q493" s="12">
        <f>(5-WEEKDAY(financials[[#This Row],[Date]],2)+financials[[#This Row],[Date]])</f>
        <v>41887</v>
      </c>
    </row>
    <row r="494" spans="1:17" x14ac:dyDescent="0.25">
      <c r="A494" t="s">
        <v>8</v>
      </c>
      <c r="B494" t="s">
        <v>16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30</v>
      </c>
      <c r="P494" s="13">
        <v>2014</v>
      </c>
      <c r="Q494" s="12">
        <f>(5-WEEKDAY(financials[[#This Row],[Date]],2)+financials[[#This Row],[Date]])</f>
        <v>41978</v>
      </c>
    </row>
    <row r="495" spans="1:17" x14ac:dyDescent="0.25">
      <c r="A495" t="s">
        <v>7</v>
      </c>
      <c r="B495" t="s">
        <v>16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30</v>
      </c>
      <c r="P495" s="13">
        <v>2014</v>
      </c>
      <c r="Q495" s="12">
        <f>(5-WEEKDAY(financials[[#This Row],[Date]],2)+financials[[#This Row],[Date]])</f>
        <v>41978</v>
      </c>
    </row>
    <row r="496" spans="1:17" x14ac:dyDescent="0.25">
      <c r="A496" t="s">
        <v>11</v>
      </c>
      <c r="B496" t="s">
        <v>16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28</v>
      </c>
      <c r="P496" s="13">
        <v>2013</v>
      </c>
      <c r="Q496" s="12">
        <f>(5-WEEKDAY(financials[[#This Row],[Date]],2)+financials[[#This Row],[Date]])</f>
        <v>41551</v>
      </c>
    </row>
    <row r="497" spans="1:17" x14ac:dyDescent="0.25">
      <c r="A497" t="s">
        <v>10</v>
      </c>
      <c r="B497" t="s">
        <v>16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22</v>
      </c>
      <c r="P497" s="13">
        <v>2014</v>
      </c>
      <c r="Q497" s="12">
        <f>(5-WEEKDAY(financials[[#This Row],[Date]],2)+financials[[#This Row],[Date]])</f>
        <v>41733</v>
      </c>
    </row>
    <row r="498" spans="1:17" x14ac:dyDescent="0.25">
      <c r="A498" t="s">
        <v>11</v>
      </c>
      <c r="B498" t="s">
        <v>16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28</v>
      </c>
      <c r="P498" s="13">
        <v>2013</v>
      </c>
      <c r="Q498" s="12">
        <f>(5-WEEKDAY(financials[[#This Row],[Date]],2)+financials[[#This Row],[Date]])</f>
        <v>41551</v>
      </c>
    </row>
    <row r="499" spans="1:17" x14ac:dyDescent="0.25">
      <c r="A499" t="s">
        <v>8</v>
      </c>
      <c r="B499" t="s">
        <v>14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19</v>
      </c>
      <c r="P499" s="13">
        <v>2014</v>
      </c>
      <c r="Q499" s="12">
        <f>(5-WEEKDAY(financials[[#This Row],[Date]],2)+financials[[#This Row],[Date]])</f>
        <v>41642</v>
      </c>
    </row>
    <row r="500" spans="1:17" x14ac:dyDescent="0.25">
      <c r="A500" t="s">
        <v>11</v>
      </c>
      <c r="B500" t="s">
        <v>17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28</v>
      </c>
      <c r="P500" s="13">
        <v>2014</v>
      </c>
      <c r="Q500" s="12">
        <f>(5-WEEKDAY(financials[[#This Row],[Date]],2)+financials[[#This Row],[Date]])</f>
        <v>41915</v>
      </c>
    </row>
    <row r="501" spans="1:17" x14ac:dyDescent="0.25">
      <c r="A501" t="s">
        <v>10</v>
      </c>
      <c r="B501" t="s">
        <v>15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21</v>
      </c>
      <c r="P501" s="13">
        <v>2014</v>
      </c>
      <c r="Q501" s="12">
        <f>(5-WEEKDAY(financials[[#This Row],[Date]],2)+financials[[#This Row],[Date]])</f>
        <v>41698</v>
      </c>
    </row>
    <row r="502" spans="1:17" x14ac:dyDescent="0.25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27</v>
      </c>
      <c r="P502" s="13">
        <v>2013</v>
      </c>
      <c r="Q502" s="12">
        <f>(5-WEEKDAY(financials[[#This Row],[Date]],2)+financials[[#This Row],[Date]])</f>
        <v>41516</v>
      </c>
    </row>
    <row r="503" spans="1:17" x14ac:dyDescent="0.25">
      <c r="A503" t="s">
        <v>8</v>
      </c>
      <c r="B503" t="s">
        <v>15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25</v>
      </c>
      <c r="P503" s="13">
        <v>2014</v>
      </c>
      <c r="Q503" s="12">
        <f>(5-WEEKDAY(financials[[#This Row],[Date]],2)+financials[[#This Row],[Date]])</f>
        <v>41824</v>
      </c>
    </row>
    <row r="504" spans="1:17" x14ac:dyDescent="0.25">
      <c r="A504" t="s">
        <v>11</v>
      </c>
      <c r="B504" t="s">
        <v>17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28</v>
      </c>
      <c r="P504" s="13">
        <v>2014</v>
      </c>
      <c r="Q504" s="12">
        <f>(5-WEEKDAY(financials[[#This Row],[Date]],2)+financials[[#This Row],[Date]])</f>
        <v>41915</v>
      </c>
    </row>
    <row r="505" spans="1:17" x14ac:dyDescent="0.25">
      <c r="A505" t="s">
        <v>11</v>
      </c>
      <c r="B505" t="s">
        <v>14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20</v>
      </c>
      <c r="P505" s="13">
        <v>2014</v>
      </c>
      <c r="Q505" s="12">
        <f>(5-WEEKDAY(financials[[#This Row],[Date]],2)+financials[[#This Row],[Date]])</f>
        <v>41670</v>
      </c>
    </row>
    <row r="506" spans="1:17" x14ac:dyDescent="0.25">
      <c r="A506" t="s">
        <v>10</v>
      </c>
      <c r="B506" t="s">
        <v>17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21</v>
      </c>
      <c r="P506" s="13">
        <v>2014</v>
      </c>
      <c r="Q506" s="12">
        <f>(5-WEEKDAY(financials[[#This Row],[Date]],2)+financials[[#This Row],[Date]])</f>
        <v>41698</v>
      </c>
    </row>
    <row r="507" spans="1:17" x14ac:dyDescent="0.25">
      <c r="A507" t="s">
        <v>7</v>
      </c>
      <c r="B507" t="s">
        <v>17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25</v>
      </c>
      <c r="P507" s="13">
        <v>2014</v>
      </c>
      <c r="Q507" s="12">
        <f>(5-WEEKDAY(financials[[#This Row],[Date]],2)+financials[[#This Row],[Date]])</f>
        <v>41824</v>
      </c>
    </row>
    <row r="508" spans="1:17" x14ac:dyDescent="0.25">
      <c r="A508" t="s">
        <v>9</v>
      </c>
      <c r="B508" t="s">
        <v>16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28</v>
      </c>
      <c r="P508" s="13">
        <v>2014</v>
      </c>
      <c r="Q508" s="12">
        <f>(5-WEEKDAY(financials[[#This Row],[Date]],2)+financials[[#This Row],[Date]])</f>
        <v>41915</v>
      </c>
    </row>
    <row r="509" spans="1:17" x14ac:dyDescent="0.25">
      <c r="A509" t="s">
        <v>8</v>
      </c>
      <c r="B509" t="s">
        <v>14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29</v>
      </c>
      <c r="P509" s="13">
        <v>2013</v>
      </c>
      <c r="Q509" s="12">
        <f>(5-WEEKDAY(financials[[#This Row],[Date]],2)+financials[[#This Row],[Date]])</f>
        <v>41579</v>
      </c>
    </row>
    <row r="510" spans="1:17" x14ac:dyDescent="0.25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29</v>
      </c>
      <c r="P510" s="13">
        <v>2013</v>
      </c>
      <c r="Q510" s="12">
        <f>(5-WEEKDAY(financials[[#This Row],[Date]],2)+financials[[#This Row],[Date]])</f>
        <v>41579</v>
      </c>
    </row>
    <row r="511" spans="1:17" x14ac:dyDescent="0.25">
      <c r="A511" t="s">
        <v>10</v>
      </c>
      <c r="B511" t="s">
        <v>17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19</v>
      </c>
      <c r="P511" s="13">
        <v>2014</v>
      </c>
      <c r="Q511" s="12">
        <f>(5-WEEKDAY(financials[[#This Row],[Date]],2)+financials[[#This Row],[Date]])</f>
        <v>41642</v>
      </c>
    </row>
    <row r="512" spans="1:17" x14ac:dyDescent="0.25">
      <c r="A512" t="s">
        <v>10</v>
      </c>
      <c r="B512" t="s">
        <v>17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28</v>
      </c>
      <c r="P512" s="13">
        <v>2013</v>
      </c>
      <c r="Q512" s="12">
        <f>(5-WEEKDAY(financials[[#This Row],[Date]],2)+financials[[#This Row],[Date]])</f>
        <v>41551</v>
      </c>
    </row>
    <row r="513" spans="1:17" x14ac:dyDescent="0.25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30</v>
      </c>
      <c r="P513" s="13">
        <v>2014</v>
      </c>
      <c r="Q513" s="12">
        <f>(5-WEEKDAY(financials[[#This Row],[Date]],2)+financials[[#This Row],[Date]])</f>
        <v>41978</v>
      </c>
    </row>
    <row r="514" spans="1:17" x14ac:dyDescent="0.25">
      <c r="A514" t="s">
        <v>7</v>
      </c>
      <c r="B514" t="s">
        <v>14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19</v>
      </c>
      <c r="P514" s="13">
        <v>2014</v>
      </c>
      <c r="Q514" s="12">
        <f>(5-WEEKDAY(financials[[#This Row],[Date]],2)+financials[[#This Row],[Date]])</f>
        <v>41642</v>
      </c>
    </row>
    <row r="515" spans="1:17" x14ac:dyDescent="0.25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21</v>
      </c>
      <c r="P515" s="13">
        <v>2014</v>
      </c>
      <c r="Q515" s="12">
        <f>(5-WEEKDAY(financials[[#This Row],[Date]],2)+financials[[#This Row],[Date]])</f>
        <v>41698</v>
      </c>
    </row>
    <row r="516" spans="1:17" x14ac:dyDescent="0.25">
      <c r="A516" t="s">
        <v>10</v>
      </c>
      <c r="B516" t="s">
        <v>14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25</v>
      </c>
      <c r="P516" s="13">
        <v>2014</v>
      </c>
      <c r="Q516" s="12">
        <f>(5-WEEKDAY(financials[[#This Row],[Date]],2)+financials[[#This Row],[Date]])</f>
        <v>41824</v>
      </c>
    </row>
    <row r="517" spans="1:17" x14ac:dyDescent="0.25">
      <c r="A517" t="s">
        <v>11</v>
      </c>
      <c r="B517" t="s">
        <v>14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25</v>
      </c>
      <c r="P517" s="13">
        <v>2014</v>
      </c>
      <c r="Q517" s="12">
        <f>(5-WEEKDAY(financials[[#This Row],[Date]],2)+financials[[#This Row],[Date]])</f>
        <v>41824</v>
      </c>
    </row>
    <row r="518" spans="1:17" x14ac:dyDescent="0.25">
      <c r="A518" t="s">
        <v>11</v>
      </c>
      <c r="B518" t="s">
        <v>16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25</v>
      </c>
      <c r="P518" s="13">
        <v>2014</v>
      </c>
      <c r="Q518" s="12">
        <f>(5-WEEKDAY(financials[[#This Row],[Date]],2)+financials[[#This Row],[Date]])</f>
        <v>41824</v>
      </c>
    </row>
    <row r="519" spans="1:17" x14ac:dyDescent="0.25">
      <c r="A519" t="s">
        <v>10</v>
      </c>
      <c r="B519" t="s">
        <v>14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26</v>
      </c>
      <c r="P519" s="13">
        <v>2014</v>
      </c>
      <c r="Q519" s="12">
        <f>(5-WEEKDAY(financials[[#This Row],[Date]],2)+financials[[#This Row],[Date]])</f>
        <v>41852</v>
      </c>
    </row>
    <row r="520" spans="1:17" x14ac:dyDescent="0.25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26</v>
      </c>
      <c r="P520" s="13">
        <v>2014</v>
      </c>
      <c r="Q520" s="12">
        <f>(5-WEEKDAY(financials[[#This Row],[Date]],2)+financials[[#This Row],[Date]])</f>
        <v>41852</v>
      </c>
    </row>
    <row r="521" spans="1:17" x14ac:dyDescent="0.25">
      <c r="A521" t="s">
        <v>9</v>
      </c>
      <c r="B521" t="s">
        <v>16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28</v>
      </c>
      <c r="P521" s="13">
        <v>2014</v>
      </c>
      <c r="Q521" s="12">
        <f>(5-WEEKDAY(financials[[#This Row],[Date]],2)+financials[[#This Row],[Date]])</f>
        <v>41915</v>
      </c>
    </row>
    <row r="522" spans="1:17" x14ac:dyDescent="0.25">
      <c r="A522" t="s">
        <v>10</v>
      </c>
      <c r="B522" t="s">
        <v>17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28</v>
      </c>
      <c r="P522" s="13">
        <v>2013</v>
      </c>
      <c r="Q522" s="12">
        <f>(5-WEEKDAY(financials[[#This Row],[Date]],2)+financials[[#This Row],[Date]])</f>
        <v>41551</v>
      </c>
    </row>
    <row r="523" spans="1:17" x14ac:dyDescent="0.25">
      <c r="A523" t="s">
        <v>7</v>
      </c>
      <c r="B523" t="s">
        <v>14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29</v>
      </c>
      <c r="P523" s="13">
        <v>2014</v>
      </c>
      <c r="Q523" s="12">
        <f>(5-WEEKDAY(financials[[#This Row],[Date]],2)+financials[[#This Row],[Date]])</f>
        <v>41943</v>
      </c>
    </row>
    <row r="524" spans="1:17" x14ac:dyDescent="0.25">
      <c r="A524" t="s">
        <v>10</v>
      </c>
      <c r="B524" t="s">
        <v>16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27</v>
      </c>
      <c r="P524" s="13">
        <v>2013</v>
      </c>
      <c r="Q524" s="12">
        <f>(5-WEEKDAY(financials[[#This Row],[Date]],2)+financials[[#This Row],[Date]])</f>
        <v>41516</v>
      </c>
    </row>
    <row r="525" spans="1:17" x14ac:dyDescent="0.25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27</v>
      </c>
      <c r="P525" s="13">
        <v>2013</v>
      </c>
      <c r="Q525" s="12">
        <f>(5-WEEKDAY(financials[[#This Row],[Date]],2)+financials[[#This Row],[Date]])</f>
        <v>41516</v>
      </c>
    </row>
    <row r="526" spans="1:17" x14ac:dyDescent="0.25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28</v>
      </c>
      <c r="P526" s="13">
        <v>2013</v>
      </c>
      <c r="Q526" s="12">
        <f>(5-WEEKDAY(financials[[#This Row],[Date]],2)+financials[[#This Row],[Date]])</f>
        <v>41551</v>
      </c>
    </row>
    <row r="527" spans="1:17" x14ac:dyDescent="0.25">
      <c r="A527" t="s">
        <v>10</v>
      </c>
      <c r="B527" t="s">
        <v>14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29</v>
      </c>
      <c r="P527" s="13">
        <v>2014</v>
      </c>
      <c r="Q527" s="12">
        <f>(5-WEEKDAY(financials[[#This Row],[Date]],2)+financials[[#This Row],[Date]])</f>
        <v>41943</v>
      </c>
    </row>
    <row r="528" spans="1:17" x14ac:dyDescent="0.25">
      <c r="A528" t="s">
        <v>11</v>
      </c>
      <c r="B528" t="s">
        <v>16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19</v>
      </c>
      <c r="P528" s="13">
        <v>2014</v>
      </c>
      <c r="Q528" s="12">
        <f>(5-WEEKDAY(financials[[#This Row],[Date]],2)+financials[[#This Row],[Date]])</f>
        <v>41642</v>
      </c>
    </row>
    <row r="529" spans="1:17" x14ac:dyDescent="0.25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19</v>
      </c>
      <c r="P529" s="13">
        <v>2014</v>
      </c>
      <c r="Q529" s="12">
        <f>(5-WEEKDAY(financials[[#This Row],[Date]],2)+financials[[#This Row],[Date]])</f>
        <v>41642</v>
      </c>
    </row>
    <row r="530" spans="1:17" x14ac:dyDescent="0.25">
      <c r="A530" t="s">
        <v>10</v>
      </c>
      <c r="B530" t="s">
        <v>14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29</v>
      </c>
      <c r="P530" s="13">
        <v>2013</v>
      </c>
      <c r="Q530" s="12">
        <f>(5-WEEKDAY(financials[[#This Row],[Date]],2)+financials[[#This Row],[Date]])</f>
        <v>41579</v>
      </c>
    </row>
    <row r="531" spans="1:17" x14ac:dyDescent="0.25">
      <c r="A531" t="s">
        <v>9</v>
      </c>
      <c r="B531" t="s">
        <v>17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19</v>
      </c>
      <c r="P531" s="13">
        <v>2014</v>
      </c>
      <c r="Q531" s="12">
        <f>(5-WEEKDAY(financials[[#This Row],[Date]],2)+financials[[#This Row],[Date]])</f>
        <v>41642</v>
      </c>
    </row>
    <row r="532" spans="1:17" x14ac:dyDescent="0.25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19</v>
      </c>
      <c r="P532" s="13">
        <v>2014</v>
      </c>
      <c r="Q532" s="12">
        <f>(5-WEEKDAY(financials[[#This Row],[Date]],2)+financials[[#This Row],[Date]])</f>
        <v>41642</v>
      </c>
    </row>
    <row r="533" spans="1:17" x14ac:dyDescent="0.25">
      <c r="A533" t="s">
        <v>9</v>
      </c>
      <c r="B533" t="s">
        <v>16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23</v>
      </c>
      <c r="P533" s="13">
        <v>2014</v>
      </c>
      <c r="Q533" s="12">
        <f>(5-WEEKDAY(financials[[#This Row],[Date]],2)+financials[[#This Row],[Date]])</f>
        <v>41761</v>
      </c>
    </row>
    <row r="534" spans="1:17" x14ac:dyDescent="0.25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27</v>
      </c>
      <c r="P534" s="13">
        <v>2013</v>
      </c>
      <c r="Q534" s="12">
        <f>(5-WEEKDAY(financials[[#This Row],[Date]],2)+financials[[#This Row],[Date]])</f>
        <v>41516</v>
      </c>
    </row>
    <row r="535" spans="1:17" x14ac:dyDescent="0.25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28</v>
      </c>
      <c r="P535" s="13">
        <v>2013</v>
      </c>
      <c r="Q535" s="12">
        <f>(5-WEEKDAY(financials[[#This Row],[Date]],2)+financials[[#This Row],[Date]])</f>
        <v>41551</v>
      </c>
    </row>
    <row r="536" spans="1:17" x14ac:dyDescent="0.25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30</v>
      </c>
      <c r="P536" s="13">
        <v>2014</v>
      </c>
      <c r="Q536" s="12">
        <f>(5-WEEKDAY(financials[[#This Row],[Date]],2)+financials[[#This Row],[Date]])</f>
        <v>41978</v>
      </c>
    </row>
    <row r="537" spans="1:17" x14ac:dyDescent="0.25">
      <c r="A537" t="s">
        <v>10</v>
      </c>
      <c r="B537" t="s">
        <v>15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27</v>
      </c>
      <c r="P537" s="13">
        <v>2013</v>
      </c>
      <c r="Q537" s="12">
        <f>(5-WEEKDAY(financials[[#This Row],[Date]],2)+financials[[#This Row],[Date]])</f>
        <v>41516</v>
      </c>
    </row>
    <row r="538" spans="1:17" x14ac:dyDescent="0.25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24</v>
      </c>
      <c r="P538" s="13">
        <v>2014</v>
      </c>
      <c r="Q538" s="12">
        <f>(5-WEEKDAY(financials[[#This Row],[Date]],2)+financials[[#This Row],[Date]])</f>
        <v>41789</v>
      </c>
    </row>
    <row r="539" spans="1:17" x14ac:dyDescent="0.25">
      <c r="A539" t="s">
        <v>9</v>
      </c>
      <c r="B539" t="s">
        <v>14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27</v>
      </c>
      <c r="P539" s="13">
        <v>2013</v>
      </c>
      <c r="Q539" s="12">
        <f>(5-WEEKDAY(financials[[#This Row],[Date]],2)+financials[[#This Row],[Date]])</f>
        <v>41516</v>
      </c>
    </row>
    <row r="540" spans="1:17" x14ac:dyDescent="0.25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28</v>
      </c>
      <c r="P540" s="13">
        <v>2014</v>
      </c>
      <c r="Q540" s="12">
        <f>(5-WEEKDAY(financials[[#This Row],[Date]],2)+financials[[#This Row],[Date]])</f>
        <v>41915</v>
      </c>
    </row>
    <row r="541" spans="1:17" x14ac:dyDescent="0.25">
      <c r="A541" t="s">
        <v>8</v>
      </c>
      <c r="B541" t="s">
        <v>14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29</v>
      </c>
      <c r="P541" s="13">
        <v>2014</v>
      </c>
      <c r="Q541" s="12">
        <f>(5-WEEKDAY(financials[[#This Row],[Date]],2)+financials[[#This Row],[Date]])</f>
        <v>41943</v>
      </c>
    </row>
    <row r="542" spans="1:17" x14ac:dyDescent="0.25">
      <c r="A542" t="s">
        <v>8</v>
      </c>
      <c r="B542" t="s">
        <v>15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21</v>
      </c>
      <c r="P542" s="13">
        <v>2014</v>
      </c>
      <c r="Q542" s="12">
        <f>(5-WEEKDAY(financials[[#This Row],[Date]],2)+financials[[#This Row],[Date]])</f>
        <v>41698</v>
      </c>
    </row>
    <row r="543" spans="1:17" x14ac:dyDescent="0.25">
      <c r="A543" t="s">
        <v>7</v>
      </c>
      <c r="B543" t="s">
        <v>16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22</v>
      </c>
      <c r="P543" s="13">
        <v>2014</v>
      </c>
      <c r="Q543" s="12">
        <f>(5-WEEKDAY(financials[[#This Row],[Date]],2)+financials[[#This Row],[Date]])</f>
        <v>41733</v>
      </c>
    </row>
    <row r="544" spans="1:17" x14ac:dyDescent="0.25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27</v>
      </c>
      <c r="P544" s="13">
        <v>2014</v>
      </c>
      <c r="Q544" s="12">
        <f>(5-WEEKDAY(financials[[#This Row],[Date]],2)+financials[[#This Row],[Date]])</f>
        <v>41887</v>
      </c>
    </row>
    <row r="545" spans="1:17" x14ac:dyDescent="0.25">
      <c r="A545" t="s">
        <v>10</v>
      </c>
      <c r="B545" t="s">
        <v>14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28</v>
      </c>
      <c r="P545" s="13">
        <v>2014</v>
      </c>
      <c r="Q545" s="12">
        <f>(5-WEEKDAY(financials[[#This Row],[Date]],2)+financials[[#This Row],[Date]])</f>
        <v>41915</v>
      </c>
    </row>
    <row r="546" spans="1:17" x14ac:dyDescent="0.25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28</v>
      </c>
      <c r="P546" s="13">
        <v>2013</v>
      </c>
      <c r="Q546" s="12">
        <f>(5-WEEKDAY(financials[[#This Row],[Date]],2)+financials[[#This Row],[Date]])</f>
        <v>41551</v>
      </c>
    </row>
    <row r="547" spans="1:17" x14ac:dyDescent="0.25">
      <c r="A547" t="s">
        <v>7</v>
      </c>
      <c r="B547" t="s">
        <v>16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30</v>
      </c>
      <c r="P547" s="13">
        <v>2013</v>
      </c>
      <c r="Q547" s="12">
        <f>(5-WEEKDAY(financials[[#This Row],[Date]],2)+financials[[#This Row],[Date]])</f>
        <v>41607</v>
      </c>
    </row>
    <row r="548" spans="1:17" x14ac:dyDescent="0.25">
      <c r="A548" t="s">
        <v>7</v>
      </c>
      <c r="B548" t="s">
        <v>15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19</v>
      </c>
      <c r="P548" s="13">
        <v>2014</v>
      </c>
      <c r="Q548" s="12">
        <f>(5-WEEKDAY(financials[[#This Row],[Date]],2)+financials[[#This Row],[Date]])</f>
        <v>41642</v>
      </c>
    </row>
    <row r="549" spans="1:17" x14ac:dyDescent="0.25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24</v>
      </c>
      <c r="P549" s="13">
        <v>2014</v>
      </c>
      <c r="Q549" s="12">
        <f>(5-WEEKDAY(financials[[#This Row],[Date]],2)+financials[[#This Row],[Date]])</f>
        <v>41789</v>
      </c>
    </row>
    <row r="550" spans="1:17" x14ac:dyDescent="0.25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28</v>
      </c>
      <c r="P550" s="13">
        <v>2014</v>
      </c>
      <c r="Q550" s="12">
        <f>(5-WEEKDAY(financials[[#This Row],[Date]],2)+financials[[#This Row],[Date]])</f>
        <v>41915</v>
      </c>
    </row>
    <row r="551" spans="1:17" x14ac:dyDescent="0.25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28</v>
      </c>
      <c r="P551" s="13">
        <v>2014</v>
      </c>
      <c r="Q551" s="12">
        <f>(5-WEEKDAY(financials[[#This Row],[Date]],2)+financials[[#This Row],[Date]])</f>
        <v>41915</v>
      </c>
    </row>
    <row r="552" spans="1:17" x14ac:dyDescent="0.25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28</v>
      </c>
      <c r="P552" s="13">
        <v>2013</v>
      </c>
      <c r="Q552" s="12">
        <f>(5-WEEKDAY(financials[[#This Row],[Date]],2)+financials[[#This Row],[Date]])</f>
        <v>41551</v>
      </c>
    </row>
    <row r="553" spans="1:17" x14ac:dyDescent="0.25">
      <c r="A553" t="s">
        <v>10</v>
      </c>
      <c r="B553" t="s">
        <v>16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29</v>
      </c>
      <c r="P553" s="13">
        <v>2014</v>
      </c>
      <c r="Q553" s="12">
        <f>(5-WEEKDAY(financials[[#This Row],[Date]],2)+financials[[#This Row],[Date]])</f>
        <v>41943</v>
      </c>
    </row>
    <row r="554" spans="1:17" x14ac:dyDescent="0.25">
      <c r="A554" t="s">
        <v>7</v>
      </c>
      <c r="B554" t="s">
        <v>17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29</v>
      </c>
      <c r="P554" s="13">
        <v>2014</v>
      </c>
      <c r="Q554" s="12">
        <f>(5-WEEKDAY(financials[[#This Row],[Date]],2)+financials[[#This Row],[Date]])</f>
        <v>41943</v>
      </c>
    </row>
    <row r="555" spans="1:17" x14ac:dyDescent="0.25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29</v>
      </c>
      <c r="P555" s="13">
        <v>2014</v>
      </c>
      <c r="Q555" s="12">
        <f>(5-WEEKDAY(financials[[#This Row],[Date]],2)+financials[[#This Row],[Date]])</f>
        <v>41943</v>
      </c>
    </row>
    <row r="556" spans="1:17" x14ac:dyDescent="0.25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29</v>
      </c>
      <c r="P556" s="13">
        <v>2014</v>
      </c>
      <c r="Q556" s="12">
        <f>(5-WEEKDAY(financials[[#This Row],[Date]],2)+financials[[#This Row],[Date]])</f>
        <v>41943</v>
      </c>
    </row>
    <row r="557" spans="1:17" x14ac:dyDescent="0.25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30</v>
      </c>
      <c r="P557" s="13">
        <v>2013</v>
      </c>
      <c r="Q557" s="12">
        <f>(5-WEEKDAY(financials[[#This Row],[Date]],2)+financials[[#This Row],[Date]])</f>
        <v>41607</v>
      </c>
    </row>
    <row r="558" spans="1:17" x14ac:dyDescent="0.25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30</v>
      </c>
      <c r="P558" s="13">
        <v>2014</v>
      </c>
      <c r="Q558" s="12">
        <f>(5-WEEKDAY(financials[[#This Row],[Date]],2)+financials[[#This Row],[Date]])</f>
        <v>41978</v>
      </c>
    </row>
    <row r="559" spans="1:17" x14ac:dyDescent="0.25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25</v>
      </c>
      <c r="P559" s="13">
        <v>2014</v>
      </c>
      <c r="Q559" s="12">
        <f>(5-WEEKDAY(financials[[#This Row],[Date]],2)+financials[[#This Row],[Date]])</f>
        <v>41824</v>
      </c>
    </row>
    <row r="560" spans="1:17" x14ac:dyDescent="0.25">
      <c r="A560" t="s">
        <v>10</v>
      </c>
      <c r="B560" t="s">
        <v>15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28</v>
      </c>
      <c r="P560" s="13">
        <v>2014</v>
      </c>
      <c r="Q560" s="12">
        <f>(5-WEEKDAY(financials[[#This Row],[Date]],2)+financials[[#This Row],[Date]])</f>
        <v>41915</v>
      </c>
    </row>
    <row r="561" spans="1:17" x14ac:dyDescent="0.25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28</v>
      </c>
      <c r="P561" s="13">
        <v>2014</v>
      </c>
      <c r="Q561" s="12">
        <f>(5-WEEKDAY(financials[[#This Row],[Date]],2)+financials[[#This Row],[Date]])</f>
        <v>41915</v>
      </c>
    </row>
    <row r="562" spans="1:17" x14ac:dyDescent="0.25">
      <c r="A562" t="s">
        <v>11</v>
      </c>
      <c r="B562" t="s">
        <v>14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23</v>
      </c>
      <c r="P562" s="13">
        <v>2014</v>
      </c>
      <c r="Q562" s="12">
        <f>(5-WEEKDAY(financials[[#This Row],[Date]],2)+financials[[#This Row],[Date]])</f>
        <v>41761</v>
      </c>
    </row>
    <row r="563" spans="1:17" x14ac:dyDescent="0.25">
      <c r="A563" t="s">
        <v>8</v>
      </c>
      <c r="B563" t="s">
        <v>16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25</v>
      </c>
      <c r="P563" s="13">
        <v>2014</v>
      </c>
      <c r="Q563" s="12">
        <f>(5-WEEKDAY(financials[[#This Row],[Date]],2)+financials[[#This Row],[Date]])</f>
        <v>41824</v>
      </c>
    </row>
    <row r="564" spans="1:17" x14ac:dyDescent="0.25">
      <c r="A564" t="s">
        <v>10</v>
      </c>
      <c r="B564" t="s">
        <v>14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27</v>
      </c>
      <c r="P564" s="13">
        <v>2013</v>
      </c>
      <c r="Q564" s="12">
        <f>(5-WEEKDAY(financials[[#This Row],[Date]],2)+financials[[#This Row],[Date]])</f>
        <v>41516</v>
      </c>
    </row>
    <row r="565" spans="1:17" x14ac:dyDescent="0.25">
      <c r="A565" t="s">
        <v>10</v>
      </c>
      <c r="B565" t="s">
        <v>15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28</v>
      </c>
      <c r="P565" s="13">
        <v>2014</v>
      </c>
      <c r="Q565" s="12">
        <f>(5-WEEKDAY(financials[[#This Row],[Date]],2)+financials[[#This Row],[Date]])</f>
        <v>41915</v>
      </c>
    </row>
    <row r="566" spans="1:17" x14ac:dyDescent="0.25">
      <c r="A566" t="s">
        <v>9</v>
      </c>
      <c r="B566" t="s">
        <v>15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29</v>
      </c>
      <c r="P566" s="13">
        <v>2014</v>
      </c>
      <c r="Q566" s="12">
        <f>(5-WEEKDAY(financials[[#This Row],[Date]],2)+financials[[#This Row],[Date]])</f>
        <v>41943</v>
      </c>
    </row>
    <row r="567" spans="1:17" x14ac:dyDescent="0.25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30</v>
      </c>
      <c r="P567" s="13">
        <v>2014</v>
      </c>
      <c r="Q567" s="12">
        <f>(5-WEEKDAY(financials[[#This Row],[Date]],2)+financials[[#This Row],[Date]])</f>
        <v>41978</v>
      </c>
    </row>
    <row r="568" spans="1:17" x14ac:dyDescent="0.25">
      <c r="A568" t="s">
        <v>10</v>
      </c>
      <c r="B568" t="s">
        <v>15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20</v>
      </c>
      <c r="P568" s="13">
        <v>2014</v>
      </c>
      <c r="Q568" s="12">
        <f>(5-WEEKDAY(financials[[#This Row],[Date]],2)+financials[[#This Row],[Date]])</f>
        <v>41670</v>
      </c>
    </row>
    <row r="569" spans="1:17" x14ac:dyDescent="0.25">
      <c r="A569" t="s">
        <v>10</v>
      </c>
      <c r="B569" t="s">
        <v>16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25</v>
      </c>
      <c r="P569" s="13">
        <v>2014</v>
      </c>
      <c r="Q569" s="12">
        <f>(5-WEEKDAY(financials[[#This Row],[Date]],2)+financials[[#This Row],[Date]])</f>
        <v>41824</v>
      </c>
    </row>
    <row r="570" spans="1:17" x14ac:dyDescent="0.25">
      <c r="A570" t="s">
        <v>10</v>
      </c>
      <c r="B570" t="s">
        <v>14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28</v>
      </c>
      <c r="P570" s="13">
        <v>2014</v>
      </c>
      <c r="Q570" s="12">
        <f>(5-WEEKDAY(financials[[#This Row],[Date]],2)+financials[[#This Row],[Date]])</f>
        <v>41915</v>
      </c>
    </row>
    <row r="571" spans="1:17" x14ac:dyDescent="0.25">
      <c r="A571" t="s">
        <v>8</v>
      </c>
      <c r="B571" t="s">
        <v>15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29</v>
      </c>
      <c r="P571" s="13">
        <v>2013</v>
      </c>
      <c r="Q571" s="12">
        <f>(5-WEEKDAY(financials[[#This Row],[Date]],2)+financials[[#This Row],[Date]])</f>
        <v>41579</v>
      </c>
    </row>
    <row r="572" spans="1:17" x14ac:dyDescent="0.25">
      <c r="A572" t="s">
        <v>10</v>
      </c>
      <c r="B572" t="s">
        <v>16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19</v>
      </c>
      <c r="P572" s="13">
        <v>2014</v>
      </c>
      <c r="Q572" s="12">
        <f>(5-WEEKDAY(financials[[#This Row],[Date]],2)+financials[[#This Row],[Date]])</f>
        <v>41642</v>
      </c>
    </row>
    <row r="573" spans="1:17" x14ac:dyDescent="0.25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23</v>
      </c>
      <c r="P573" s="13">
        <v>2014</v>
      </c>
      <c r="Q573" s="12">
        <f>(5-WEEKDAY(financials[[#This Row],[Date]],2)+financials[[#This Row],[Date]])</f>
        <v>41761</v>
      </c>
    </row>
    <row r="574" spans="1:17" x14ac:dyDescent="0.25">
      <c r="A574" t="s">
        <v>10</v>
      </c>
      <c r="B574" t="s">
        <v>17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30</v>
      </c>
      <c r="P574" s="13">
        <v>2014</v>
      </c>
      <c r="Q574" s="12">
        <f>(5-WEEKDAY(financials[[#This Row],[Date]],2)+financials[[#This Row],[Date]])</f>
        <v>41978</v>
      </c>
    </row>
    <row r="575" spans="1:17" x14ac:dyDescent="0.25">
      <c r="A575" t="s">
        <v>10</v>
      </c>
      <c r="B575" t="s">
        <v>16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21</v>
      </c>
      <c r="P575" s="13">
        <v>2014</v>
      </c>
      <c r="Q575" s="12">
        <f>(5-WEEKDAY(financials[[#This Row],[Date]],2)+financials[[#This Row],[Date]])</f>
        <v>41698</v>
      </c>
    </row>
    <row r="576" spans="1:17" x14ac:dyDescent="0.25">
      <c r="A576" t="s">
        <v>10</v>
      </c>
      <c r="B576" t="s">
        <v>17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30</v>
      </c>
      <c r="P576" s="13">
        <v>2014</v>
      </c>
      <c r="Q576" s="12">
        <f>(5-WEEKDAY(financials[[#This Row],[Date]],2)+financials[[#This Row],[Date]])</f>
        <v>41978</v>
      </c>
    </row>
    <row r="577" spans="1:17" x14ac:dyDescent="0.25">
      <c r="A577" t="s">
        <v>11</v>
      </c>
      <c r="B577" t="s">
        <v>14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27</v>
      </c>
      <c r="P577" s="13">
        <v>2013</v>
      </c>
      <c r="Q577" s="12">
        <f>(5-WEEKDAY(financials[[#This Row],[Date]],2)+financials[[#This Row],[Date]])</f>
        <v>41516</v>
      </c>
    </row>
    <row r="578" spans="1:17" x14ac:dyDescent="0.25">
      <c r="A578" t="s">
        <v>8</v>
      </c>
      <c r="B578" t="s">
        <v>15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24</v>
      </c>
      <c r="P578" s="13">
        <v>2014</v>
      </c>
      <c r="Q578" s="12">
        <f>(5-WEEKDAY(financials[[#This Row],[Date]],2)+financials[[#This Row],[Date]])</f>
        <v>41789</v>
      </c>
    </row>
    <row r="579" spans="1:17" x14ac:dyDescent="0.25">
      <c r="A579" t="s">
        <v>8</v>
      </c>
      <c r="B579" t="s">
        <v>15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24</v>
      </c>
      <c r="P579" s="13">
        <v>2014</v>
      </c>
      <c r="Q579" s="12">
        <f>(5-WEEKDAY(financials[[#This Row],[Date]],2)+financials[[#This Row],[Date]])</f>
        <v>41789</v>
      </c>
    </row>
    <row r="580" spans="1:17" x14ac:dyDescent="0.25">
      <c r="A580" t="s">
        <v>10</v>
      </c>
      <c r="B580" t="s">
        <v>14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21</v>
      </c>
      <c r="P580" s="13">
        <v>2014</v>
      </c>
      <c r="Q580" s="12">
        <f>(5-WEEKDAY(financials[[#This Row],[Date]],2)+financials[[#This Row],[Date]])</f>
        <v>41698</v>
      </c>
    </row>
    <row r="581" spans="1:17" x14ac:dyDescent="0.25">
      <c r="A581" t="s">
        <v>10</v>
      </c>
      <c r="B581" t="s">
        <v>16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21</v>
      </c>
      <c r="P581" s="13">
        <v>2014</v>
      </c>
      <c r="Q581" s="12">
        <f>(5-WEEKDAY(financials[[#This Row],[Date]],2)+financials[[#This Row],[Date]])</f>
        <v>41698</v>
      </c>
    </row>
    <row r="582" spans="1:17" x14ac:dyDescent="0.25">
      <c r="A582" t="s">
        <v>10</v>
      </c>
      <c r="B582" t="s">
        <v>17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27</v>
      </c>
      <c r="P582" s="13">
        <v>2013</v>
      </c>
      <c r="Q582" s="12">
        <f>(5-WEEKDAY(financials[[#This Row],[Date]],2)+financials[[#This Row],[Date]])</f>
        <v>41516</v>
      </c>
    </row>
    <row r="583" spans="1:17" x14ac:dyDescent="0.25">
      <c r="A583" t="s">
        <v>10</v>
      </c>
      <c r="B583" t="s">
        <v>15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19</v>
      </c>
      <c r="P583" s="13">
        <v>2014</v>
      </c>
      <c r="Q583" s="12">
        <f>(5-WEEKDAY(financials[[#This Row],[Date]],2)+financials[[#This Row],[Date]])</f>
        <v>41642</v>
      </c>
    </row>
    <row r="584" spans="1:17" x14ac:dyDescent="0.25">
      <c r="A584" t="s">
        <v>10</v>
      </c>
      <c r="B584" t="s">
        <v>15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20</v>
      </c>
      <c r="P584" s="13">
        <v>2014</v>
      </c>
      <c r="Q584" s="12">
        <f>(5-WEEKDAY(financials[[#This Row],[Date]],2)+financials[[#This Row],[Date]])</f>
        <v>41670</v>
      </c>
    </row>
    <row r="585" spans="1:17" x14ac:dyDescent="0.25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24</v>
      </c>
      <c r="P585" s="13">
        <v>2014</v>
      </c>
      <c r="Q585" s="12">
        <f>(5-WEEKDAY(financials[[#This Row],[Date]],2)+financials[[#This Row],[Date]])</f>
        <v>41789</v>
      </c>
    </row>
    <row r="586" spans="1:17" x14ac:dyDescent="0.25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25</v>
      </c>
      <c r="P586" s="13">
        <v>2014</v>
      </c>
      <c r="Q586" s="12">
        <f>(5-WEEKDAY(financials[[#This Row],[Date]],2)+financials[[#This Row],[Date]])</f>
        <v>41824</v>
      </c>
    </row>
    <row r="587" spans="1:17" x14ac:dyDescent="0.25">
      <c r="A587" t="s">
        <v>10</v>
      </c>
      <c r="B587" t="s">
        <v>14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28</v>
      </c>
      <c r="P587" s="13">
        <v>2014</v>
      </c>
      <c r="Q587" s="12">
        <f>(5-WEEKDAY(financials[[#This Row],[Date]],2)+financials[[#This Row],[Date]])</f>
        <v>41915</v>
      </c>
    </row>
    <row r="588" spans="1:17" x14ac:dyDescent="0.25">
      <c r="A588" t="s">
        <v>10</v>
      </c>
      <c r="B588" t="s">
        <v>15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19</v>
      </c>
      <c r="P588" s="13">
        <v>2014</v>
      </c>
      <c r="Q588" s="12">
        <f>(5-WEEKDAY(financials[[#This Row],[Date]],2)+financials[[#This Row],[Date]])</f>
        <v>41642</v>
      </c>
    </row>
    <row r="589" spans="1:17" x14ac:dyDescent="0.25">
      <c r="A589" t="s">
        <v>7</v>
      </c>
      <c r="B589" t="s">
        <v>17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19</v>
      </c>
      <c r="P589" s="13">
        <v>2014</v>
      </c>
      <c r="Q589" s="12">
        <f>(5-WEEKDAY(financials[[#This Row],[Date]],2)+financials[[#This Row],[Date]])</f>
        <v>41642</v>
      </c>
    </row>
    <row r="590" spans="1:17" x14ac:dyDescent="0.25">
      <c r="A590" t="s">
        <v>10</v>
      </c>
      <c r="B590" t="s">
        <v>15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20</v>
      </c>
      <c r="P590" s="13">
        <v>2014</v>
      </c>
      <c r="Q590" s="12">
        <f>(5-WEEKDAY(financials[[#This Row],[Date]],2)+financials[[#This Row],[Date]])</f>
        <v>41670</v>
      </c>
    </row>
    <row r="591" spans="1:17" x14ac:dyDescent="0.25">
      <c r="A591" t="s">
        <v>10</v>
      </c>
      <c r="B591" t="s">
        <v>17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20</v>
      </c>
      <c r="P591" s="13">
        <v>2014</v>
      </c>
      <c r="Q591" s="12">
        <f>(5-WEEKDAY(financials[[#This Row],[Date]],2)+financials[[#This Row],[Date]])</f>
        <v>41670</v>
      </c>
    </row>
    <row r="592" spans="1:17" x14ac:dyDescent="0.25">
      <c r="A592" t="s">
        <v>10</v>
      </c>
      <c r="B592" t="s">
        <v>14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24</v>
      </c>
      <c r="P592" s="13">
        <v>2014</v>
      </c>
      <c r="Q592" s="12">
        <f>(5-WEEKDAY(financials[[#This Row],[Date]],2)+financials[[#This Row],[Date]])</f>
        <v>41789</v>
      </c>
    </row>
    <row r="593" spans="1:17" x14ac:dyDescent="0.25">
      <c r="A593" t="s">
        <v>9</v>
      </c>
      <c r="B593" t="s">
        <v>14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24</v>
      </c>
      <c r="P593" s="13">
        <v>2014</v>
      </c>
      <c r="Q593" s="12">
        <f>(5-WEEKDAY(financials[[#This Row],[Date]],2)+financials[[#This Row],[Date]])</f>
        <v>41789</v>
      </c>
    </row>
    <row r="594" spans="1:17" x14ac:dyDescent="0.25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25</v>
      </c>
      <c r="P594" s="13">
        <v>2014</v>
      </c>
      <c r="Q594" s="12">
        <f>(5-WEEKDAY(financials[[#This Row],[Date]],2)+financials[[#This Row],[Date]])</f>
        <v>41824</v>
      </c>
    </row>
    <row r="595" spans="1:17" x14ac:dyDescent="0.25">
      <c r="A595" t="s">
        <v>10</v>
      </c>
      <c r="B595" t="s">
        <v>16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26</v>
      </c>
      <c r="P595" s="13">
        <v>2014</v>
      </c>
      <c r="Q595" s="12">
        <f>(5-WEEKDAY(financials[[#This Row],[Date]],2)+financials[[#This Row],[Date]])</f>
        <v>41852</v>
      </c>
    </row>
    <row r="596" spans="1:17" x14ac:dyDescent="0.25">
      <c r="A596" t="s">
        <v>8</v>
      </c>
      <c r="B596" t="s">
        <v>14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28</v>
      </c>
      <c r="P596" s="13">
        <v>2014</v>
      </c>
      <c r="Q596" s="12">
        <f>(5-WEEKDAY(financials[[#This Row],[Date]],2)+financials[[#This Row],[Date]])</f>
        <v>41915</v>
      </c>
    </row>
    <row r="597" spans="1:17" x14ac:dyDescent="0.25">
      <c r="A597" t="s">
        <v>10</v>
      </c>
      <c r="B597" t="s">
        <v>14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28</v>
      </c>
      <c r="P597" s="13">
        <v>2014</v>
      </c>
      <c r="Q597" s="12">
        <f>(5-WEEKDAY(financials[[#This Row],[Date]],2)+financials[[#This Row],[Date]])</f>
        <v>41915</v>
      </c>
    </row>
    <row r="598" spans="1:17" x14ac:dyDescent="0.25">
      <c r="A598" t="s">
        <v>10</v>
      </c>
      <c r="B598" t="s">
        <v>17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29</v>
      </c>
      <c r="P598" s="13">
        <v>2014</v>
      </c>
      <c r="Q598" s="12">
        <f>(5-WEEKDAY(financials[[#This Row],[Date]],2)+financials[[#This Row],[Date]])</f>
        <v>41943</v>
      </c>
    </row>
    <row r="599" spans="1:17" x14ac:dyDescent="0.25">
      <c r="A599" t="s">
        <v>11</v>
      </c>
      <c r="B599" t="s">
        <v>17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30</v>
      </c>
      <c r="P599" s="13">
        <v>2014</v>
      </c>
      <c r="Q599" s="12">
        <f>(5-WEEKDAY(financials[[#This Row],[Date]],2)+financials[[#This Row],[Date]])</f>
        <v>41978</v>
      </c>
    </row>
    <row r="600" spans="1:17" x14ac:dyDescent="0.25">
      <c r="A600" t="s">
        <v>8</v>
      </c>
      <c r="B600" t="s">
        <v>16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19</v>
      </c>
      <c r="P600" s="13">
        <v>2014</v>
      </c>
      <c r="Q600" s="12">
        <f>(5-WEEKDAY(financials[[#This Row],[Date]],2)+financials[[#This Row],[Date]])</f>
        <v>41642</v>
      </c>
    </row>
    <row r="601" spans="1:17" x14ac:dyDescent="0.25">
      <c r="A601" t="s">
        <v>10</v>
      </c>
      <c r="B601" t="s">
        <v>14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24</v>
      </c>
      <c r="P601" s="13">
        <v>2014</v>
      </c>
      <c r="Q601" s="12">
        <f>(5-WEEKDAY(financials[[#This Row],[Date]],2)+financials[[#This Row],[Date]])</f>
        <v>41789</v>
      </c>
    </row>
    <row r="602" spans="1:17" x14ac:dyDescent="0.25">
      <c r="A602" t="s">
        <v>10</v>
      </c>
      <c r="B602" t="s">
        <v>16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24</v>
      </c>
      <c r="P602" s="13">
        <v>2014</v>
      </c>
      <c r="Q602" s="12">
        <f>(5-WEEKDAY(financials[[#This Row],[Date]],2)+financials[[#This Row],[Date]])</f>
        <v>41789</v>
      </c>
    </row>
    <row r="603" spans="1:17" x14ac:dyDescent="0.25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24</v>
      </c>
      <c r="P603" s="13">
        <v>2014</v>
      </c>
      <c r="Q603" s="12">
        <f>(5-WEEKDAY(financials[[#This Row],[Date]],2)+financials[[#This Row],[Date]])</f>
        <v>41789</v>
      </c>
    </row>
    <row r="604" spans="1:17" x14ac:dyDescent="0.25">
      <c r="A604" t="s">
        <v>8</v>
      </c>
      <c r="B604" t="s">
        <v>17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27</v>
      </c>
      <c r="P604" s="13">
        <v>2013</v>
      </c>
      <c r="Q604" s="12">
        <f>(5-WEEKDAY(financials[[#This Row],[Date]],2)+financials[[#This Row],[Date]])</f>
        <v>41516</v>
      </c>
    </row>
    <row r="605" spans="1:17" x14ac:dyDescent="0.25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28</v>
      </c>
      <c r="P605" s="13">
        <v>2014</v>
      </c>
      <c r="Q605" s="12">
        <f>(5-WEEKDAY(financials[[#This Row],[Date]],2)+financials[[#This Row],[Date]])</f>
        <v>41915</v>
      </c>
    </row>
    <row r="606" spans="1:17" x14ac:dyDescent="0.25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29</v>
      </c>
      <c r="P606" s="13">
        <v>2013</v>
      </c>
      <c r="Q606" s="12">
        <f>(5-WEEKDAY(financials[[#This Row],[Date]],2)+financials[[#This Row],[Date]])</f>
        <v>41579</v>
      </c>
    </row>
    <row r="607" spans="1:17" x14ac:dyDescent="0.25">
      <c r="A607" t="s">
        <v>11</v>
      </c>
      <c r="B607" t="s">
        <v>17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30</v>
      </c>
      <c r="P607" s="13">
        <v>2014</v>
      </c>
      <c r="Q607" s="12">
        <f>(5-WEEKDAY(financials[[#This Row],[Date]],2)+financials[[#This Row],[Date]])</f>
        <v>41978</v>
      </c>
    </row>
    <row r="608" spans="1:17" x14ac:dyDescent="0.25">
      <c r="A608" t="s">
        <v>9</v>
      </c>
      <c r="B608" t="s">
        <v>14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24</v>
      </c>
      <c r="P608" s="13">
        <v>2014</v>
      </c>
      <c r="Q608" s="12">
        <f>(5-WEEKDAY(financials[[#This Row],[Date]],2)+financials[[#This Row],[Date]])</f>
        <v>41789</v>
      </c>
    </row>
    <row r="609" spans="1:17" x14ac:dyDescent="0.25">
      <c r="A609" t="s">
        <v>8</v>
      </c>
      <c r="B609" t="s">
        <v>14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28</v>
      </c>
      <c r="P609" s="13">
        <v>2014</v>
      </c>
      <c r="Q609" s="12">
        <f>(5-WEEKDAY(financials[[#This Row],[Date]],2)+financials[[#This Row],[Date]])</f>
        <v>41915</v>
      </c>
    </row>
    <row r="610" spans="1:17" x14ac:dyDescent="0.25">
      <c r="A610" t="s">
        <v>9</v>
      </c>
      <c r="B610" t="s">
        <v>14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19</v>
      </c>
      <c r="P610" s="13">
        <v>2014</v>
      </c>
      <c r="Q610" s="12">
        <f>(5-WEEKDAY(financials[[#This Row],[Date]],2)+financials[[#This Row],[Date]])</f>
        <v>41642</v>
      </c>
    </row>
    <row r="611" spans="1:17" x14ac:dyDescent="0.25">
      <c r="A611" t="s">
        <v>10</v>
      </c>
      <c r="B611" t="s">
        <v>16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24</v>
      </c>
      <c r="P611" s="13">
        <v>2014</v>
      </c>
      <c r="Q611" s="12">
        <f>(5-WEEKDAY(financials[[#This Row],[Date]],2)+financials[[#This Row],[Date]])</f>
        <v>41789</v>
      </c>
    </row>
    <row r="612" spans="1:17" x14ac:dyDescent="0.25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28</v>
      </c>
      <c r="P612" s="13">
        <v>2014</v>
      </c>
      <c r="Q612" s="12">
        <f>(5-WEEKDAY(financials[[#This Row],[Date]],2)+financials[[#This Row],[Date]])</f>
        <v>41915</v>
      </c>
    </row>
    <row r="613" spans="1:17" x14ac:dyDescent="0.25">
      <c r="A613" t="s">
        <v>11</v>
      </c>
      <c r="B613" t="s">
        <v>17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30</v>
      </c>
      <c r="P613" s="13">
        <v>2013</v>
      </c>
      <c r="Q613" s="12">
        <f>(5-WEEKDAY(financials[[#This Row],[Date]],2)+financials[[#This Row],[Date]])</f>
        <v>41607</v>
      </c>
    </row>
    <row r="614" spans="1:17" x14ac:dyDescent="0.25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22</v>
      </c>
      <c r="P614" s="13">
        <v>2014</v>
      </c>
      <c r="Q614" s="12">
        <f>(5-WEEKDAY(financials[[#This Row],[Date]],2)+financials[[#This Row],[Date]])</f>
        <v>41733</v>
      </c>
    </row>
    <row r="615" spans="1:17" x14ac:dyDescent="0.25">
      <c r="A615" t="s">
        <v>10</v>
      </c>
      <c r="B615" t="s">
        <v>15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23</v>
      </c>
      <c r="P615" s="13">
        <v>2014</v>
      </c>
      <c r="Q615" s="12">
        <f>(5-WEEKDAY(financials[[#This Row],[Date]],2)+financials[[#This Row],[Date]])</f>
        <v>41761</v>
      </c>
    </row>
    <row r="616" spans="1:17" x14ac:dyDescent="0.25">
      <c r="A616" t="s">
        <v>10</v>
      </c>
      <c r="B616" t="s">
        <v>15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28</v>
      </c>
      <c r="P616" s="13">
        <v>2013</v>
      </c>
      <c r="Q616" s="12">
        <f>(5-WEEKDAY(financials[[#This Row],[Date]],2)+financials[[#This Row],[Date]])</f>
        <v>41551</v>
      </c>
    </row>
    <row r="617" spans="1:17" x14ac:dyDescent="0.25">
      <c r="A617" t="s">
        <v>10</v>
      </c>
      <c r="B617" t="s">
        <v>17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30</v>
      </c>
      <c r="P617" s="13">
        <v>2014</v>
      </c>
      <c r="Q617" s="12">
        <f>(5-WEEKDAY(financials[[#This Row],[Date]],2)+financials[[#This Row],[Date]])</f>
        <v>41978</v>
      </c>
    </row>
    <row r="618" spans="1:17" x14ac:dyDescent="0.25">
      <c r="A618" t="s">
        <v>10</v>
      </c>
      <c r="B618" t="s">
        <v>16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20</v>
      </c>
      <c r="P618" s="13">
        <v>2014</v>
      </c>
      <c r="Q618" s="12">
        <f>(5-WEEKDAY(financials[[#This Row],[Date]],2)+financials[[#This Row],[Date]])</f>
        <v>41670</v>
      </c>
    </row>
    <row r="619" spans="1:17" x14ac:dyDescent="0.25">
      <c r="A619" t="s">
        <v>10</v>
      </c>
      <c r="B619" t="s">
        <v>15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28</v>
      </c>
      <c r="P619" s="13">
        <v>2013</v>
      </c>
      <c r="Q619" s="12">
        <f>(5-WEEKDAY(financials[[#This Row],[Date]],2)+financials[[#This Row],[Date]])</f>
        <v>41551</v>
      </c>
    </row>
    <row r="620" spans="1:17" x14ac:dyDescent="0.25">
      <c r="A620" t="s">
        <v>8</v>
      </c>
      <c r="B620" t="s">
        <v>17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20</v>
      </c>
      <c r="P620" s="13">
        <v>2014</v>
      </c>
      <c r="Q620" s="12">
        <f>(5-WEEKDAY(financials[[#This Row],[Date]],2)+financials[[#This Row],[Date]])</f>
        <v>41670</v>
      </c>
    </row>
    <row r="621" spans="1:17" x14ac:dyDescent="0.25">
      <c r="A621" t="s">
        <v>10</v>
      </c>
      <c r="B621" t="s">
        <v>14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21</v>
      </c>
      <c r="P621" s="13">
        <v>2014</v>
      </c>
      <c r="Q621" s="12">
        <f>(5-WEEKDAY(financials[[#This Row],[Date]],2)+financials[[#This Row],[Date]])</f>
        <v>41698</v>
      </c>
    </row>
    <row r="622" spans="1:17" x14ac:dyDescent="0.25">
      <c r="A622" t="s">
        <v>8</v>
      </c>
      <c r="B622" t="s">
        <v>15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27</v>
      </c>
      <c r="P622" s="13">
        <v>2014</v>
      </c>
      <c r="Q622" s="12">
        <f>(5-WEEKDAY(financials[[#This Row],[Date]],2)+financials[[#This Row],[Date]])</f>
        <v>41887</v>
      </c>
    </row>
    <row r="623" spans="1:17" x14ac:dyDescent="0.25">
      <c r="A623" t="s">
        <v>11</v>
      </c>
      <c r="B623" t="s">
        <v>16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28</v>
      </c>
      <c r="P623" s="13">
        <v>2014</v>
      </c>
      <c r="Q623" s="12">
        <f>(5-WEEKDAY(financials[[#This Row],[Date]],2)+financials[[#This Row],[Date]])</f>
        <v>41915</v>
      </c>
    </row>
    <row r="624" spans="1:17" x14ac:dyDescent="0.25">
      <c r="A624" t="s">
        <v>10</v>
      </c>
      <c r="B624" t="s">
        <v>17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30</v>
      </c>
      <c r="P624" s="13">
        <v>2014</v>
      </c>
      <c r="Q624" s="12">
        <f>(5-WEEKDAY(financials[[#This Row],[Date]],2)+financials[[#This Row],[Date]])</f>
        <v>41978</v>
      </c>
    </row>
    <row r="625" spans="1:17" x14ac:dyDescent="0.25">
      <c r="A625" t="s">
        <v>11</v>
      </c>
      <c r="B625" t="s">
        <v>16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28</v>
      </c>
      <c r="P625" s="13">
        <v>2014</v>
      </c>
      <c r="Q625" s="12">
        <f>(5-WEEKDAY(financials[[#This Row],[Date]],2)+financials[[#This Row],[Date]])</f>
        <v>41915</v>
      </c>
    </row>
    <row r="626" spans="1:17" x14ac:dyDescent="0.25">
      <c r="A626" t="s">
        <v>11</v>
      </c>
      <c r="B626" t="s">
        <v>15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30</v>
      </c>
      <c r="P626" s="13">
        <v>2013</v>
      </c>
      <c r="Q626" s="12">
        <f>(5-WEEKDAY(financials[[#This Row],[Date]],2)+financials[[#This Row],[Date]])</f>
        <v>41607</v>
      </c>
    </row>
    <row r="627" spans="1:17" x14ac:dyDescent="0.25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25</v>
      </c>
      <c r="P627" s="13">
        <v>2014</v>
      </c>
      <c r="Q627" s="12">
        <f>(5-WEEKDAY(financials[[#This Row],[Date]],2)+financials[[#This Row],[Date]])</f>
        <v>41824</v>
      </c>
    </row>
    <row r="628" spans="1:17" x14ac:dyDescent="0.25">
      <c r="A628" t="s">
        <v>9</v>
      </c>
      <c r="B628" t="s">
        <v>16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27</v>
      </c>
      <c r="P628" s="13">
        <v>2013</v>
      </c>
      <c r="Q628" s="12">
        <f>(5-WEEKDAY(financials[[#This Row],[Date]],2)+financials[[#This Row],[Date]])</f>
        <v>41516</v>
      </c>
    </row>
    <row r="629" spans="1:17" x14ac:dyDescent="0.25">
      <c r="A629" t="s">
        <v>7</v>
      </c>
      <c r="B629" t="s">
        <v>14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28</v>
      </c>
      <c r="P629" s="13">
        <v>2014</v>
      </c>
      <c r="Q629" s="12">
        <f>(5-WEEKDAY(financials[[#This Row],[Date]],2)+financials[[#This Row],[Date]])</f>
        <v>41915</v>
      </c>
    </row>
    <row r="630" spans="1:17" x14ac:dyDescent="0.25">
      <c r="A630" t="s">
        <v>7</v>
      </c>
      <c r="B630" t="s">
        <v>15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28</v>
      </c>
      <c r="P630" s="13">
        <v>2014</v>
      </c>
      <c r="Q630" s="12">
        <f>(5-WEEKDAY(financials[[#This Row],[Date]],2)+financials[[#This Row],[Date]])</f>
        <v>41915</v>
      </c>
    </row>
    <row r="631" spans="1:17" x14ac:dyDescent="0.25">
      <c r="A631" t="s">
        <v>8</v>
      </c>
      <c r="B631" t="s">
        <v>17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29</v>
      </c>
      <c r="P631" s="13">
        <v>2014</v>
      </c>
      <c r="Q631" s="12">
        <f>(5-WEEKDAY(financials[[#This Row],[Date]],2)+financials[[#This Row],[Date]])</f>
        <v>41943</v>
      </c>
    </row>
    <row r="632" spans="1:17" x14ac:dyDescent="0.25">
      <c r="A632" t="s">
        <v>8</v>
      </c>
      <c r="B632" t="s">
        <v>14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30</v>
      </c>
      <c r="P632" s="13">
        <v>2014</v>
      </c>
      <c r="Q632" s="12">
        <f>(5-WEEKDAY(financials[[#This Row],[Date]],2)+financials[[#This Row],[Date]])</f>
        <v>41978</v>
      </c>
    </row>
    <row r="633" spans="1:17" x14ac:dyDescent="0.25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30</v>
      </c>
      <c r="P633" s="13">
        <v>2013</v>
      </c>
      <c r="Q633" s="12">
        <f>(5-WEEKDAY(financials[[#This Row],[Date]],2)+financials[[#This Row],[Date]])</f>
        <v>41607</v>
      </c>
    </row>
    <row r="634" spans="1:17" x14ac:dyDescent="0.25">
      <c r="A634" t="s">
        <v>10</v>
      </c>
      <c r="B634" t="s">
        <v>14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19</v>
      </c>
      <c r="P634" s="13">
        <v>2014</v>
      </c>
      <c r="Q634" s="12">
        <f>(5-WEEKDAY(financials[[#This Row],[Date]],2)+financials[[#This Row],[Date]])</f>
        <v>41642</v>
      </c>
    </row>
    <row r="635" spans="1:17" x14ac:dyDescent="0.25">
      <c r="A635" t="s">
        <v>10</v>
      </c>
      <c r="B635" t="s">
        <v>17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22</v>
      </c>
      <c r="P635" s="13">
        <v>2014</v>
      </c>
      <c r="Q635" s="12">
        <f>(5-WEEKDAY(financials[[#This Row],[Date]],2)+financials[[#This Row],[Date]])</f>
        <v>41733</v>
      </c>
    </row>
    <row r="636" spans="1:17" x14ac:dyDescent="0.25">
      <c r="A636" t="s">
        <v>10</v>
      </c>
      <c r="B636" t="s">
        <v>14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23</v>
      </c>
      <c r="P636" s="13">
        <v>2014</v>
      </c>
      <c r="Q636" s="12">
        <f>(5-WEEKDAY(financials[[#This Row],[Date]],2)+financials[[#This Row],[Date]])</f>
        <v>41761</v>
      </c>
    </row>
    <row r="637" spans="1:17" x14ac:dyDescent="0.25">
      <c r="A637" t="s">
        <v>10</v>
      </c>
      <c r="B637" t="s">
        <v>14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27</v>
      </c>
      <c r="P637" s="13">
        <v>2014</v>
      </c>
      <c r="Q637" s="12">
        <f>(5-WEEKDAY(financials[[#This Row],[Date]],2)+financials[[#This Row],[Date]])</f>
        <v>41887</v>
      </c>
    </row>
    <row r="638" spans="1:17" x14ac:dyDescent="0.25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28</v>
      </c>
      <c r="P638" s="13">
        <v>2013</v>
      </c>
      <c r="Q638" s="12">
        <f>(5-WEEKDAY(financials[[#This Row],[Date]],2)+financials[[#This Row],[Date]])</f>
        <v>41551</v>
      </c>
    </row>
    <row r="639" spans="1:17" x14ac:dyDescent="0.25">
      <c r="A639" t="s">
        <v>8</v>
      </c>
      <c r="B639" t="s">
        <v>14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30</v>
      </c>
      <c r="P639" s="13">
        <v>2014</v>
      </c>
      <c r="Q639" s="12">
        <f>(5-WEEKDAY(financials[[#This Row],[Date]],2)+financials[[#This Row],[Date]])</f>
        <v>41978</v>
      </c>
    </row>
    <row r="640" spans="1:17" x14ac:dyDescent="0.25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20</v>
      </c>
      <c r="P640" s="13">
        <v>2014</v>
      </c>
      <c r="Q640" s="12">
        <f>(5-WEEKDAY(financials[[#This Row],[Date]],2)+financials[[#This Row],[Date]])</f>
        <v>41670</v>
      </c>
    </row>
    <row r="641" spans="1:17" x14ac:dyDescent="0.25">
      <c r="A641" t="s">
        <v>8</v>
      </c>
      <c r="B641" t="s">
        <v>14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27</v>
      </c>
      <c r="P641" s="13">
        <v>2013</v>
      </c>
      <c r="Q641" s="12">
        <f>(5-WEEKDAY(financials[[#This Row],[Date]],2)+financials[[#This Row],[Date]])</f>
        <v>41516</v>
      </c>
    </row>
    <row r="642" spans="1:17" x14ac:dyDescent="0.25">
      <c r="A642" t="s">
        <v>8</v>
      </c>
      <c r="B642" t="s">
        <v>14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28</v>
      </c>
      <c r="P642" s="13">
        <v>2013</v>
      </c>
      <c r="Q642" s="12">
        <f>(5-WEEKDAY(financials[[#This Row],[Date]],2)+financials[[#This Row],[Date]])</f>
        <v>41551</v>
      </c>
    </row>
    <row r="643" spans="1:17" x14ac:dyDescent="0.25">
      <c r="A643" t="s">
        <v>11</v>
      </c>
      <c r="B643" t="s">
        <v>15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28</v>
      </c>
      <c r="P643" s="13">
        <v>2014</v>
      </c>
      <c r="Q643" s="12">
        <f>(5-WEEKDAY(financials[[#This Row],[Date]],2)+financials[[#This Row],[Date]])</f>
        <v>41915</v>
      </c>
    </row>
    <row r="644" spans="1:17" x14ac:dyDescent="0.25">
      <c r="A644" t="s">
        <v>10</v>
      </c>
      <c r="B644" t="s">
        <v>16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28</v>
      </c>
      <c r="P644" s="13">
        <v>2014</v>
      </c>
      <c r="Q644" s="12">
        <f>(5-WEEKDAY(financials[[#This Row],[Date]],2)+financials[[#This Row],[Date]])</f>
        <v>41915</v>
      </c>
    </row>
    <row r="645" spans="1:17" x14ac:dyDescent="0.25">
      <c r="A645" t="s">
        <v>10</v>
      </c>
      <c r="B645" t="s">
        <v>14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29</v>
      </c>
      <c r="P645" s="13">
        <v>2014</v>
      </c>
      <c r="Q645" s="12">
        <f>(5-WEEKDAY(financials[[#This Row],[Date]],2)+financials[[#This Row],[Date]])</f>
        <v>41943</v>
      </c>
    </row>
    <row r="646" spans="1:17" x14ac:dyDescent="0.25">
      <c r="A646" t="s">
        <v>11</v>
      </c>
      <c r="B646" t="s">
        <v>14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29</v>
      </c>
      <c r="P646" s="13">
        <v>2013</v>
      </c>
      <c r="Q646" s="12">
        <f>(5-WEEKDAY(financials[[#This Row],[Date]],2)+financials[[#This Row],[Date]])</f>
        <v>41579</v>
      </c>
    </row>
    <row r="647" spans="1:17" x14ac:dyDescent="0.25">
      <c r="A647" t="s">
        <v>10</v>
      </c>
      <c r="B647" t="s">
        <v>15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29</v>
      </c>
      <c r="P647" s="13">
        <v>2014</v>
      </c>
      <c r="Q647" s="12">
        <f>(5-WEEKDAY(financials[[#This Row],[Date]],2)+financials[[#This Row],[Date]])</f>
        <v>41943</v>
      </c>
    </row>
    <row r="648" spans="1:17" x14ac:dyDescent="0.25">
      <c r="A648" t="s">
        <v>10</v>
      </c>
      <c r="B648" t="s">
        <v>16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29</v>
      </c>
      <c r="P648" s="13">
        <v>2013</v>
      </c>
      <c r="Q648" s="12">
        <f>(5-WEEKDAY(financials[[#This Row],[Date]],2)+financials[[#This Row],[Date]])</f>
        <v>41579</v>
      </c>
    </row>
    <row r="649" spans="1:17" x14ac:dyDescent="0.25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20</v>
      </c>
      <c r="P649" s="13">
        <v>2014</v>
      </c>
      <c r="Q649" s="12">
        <f>(5-WEEKDAY(financials[[#This Row],[Date]],2)+financials[[#This Row],[Date]])</f>
        <v>41670</v>
      </c>
    </row>
    <row r="650" spans="1:17" x14ac:dyDescent="0.25">
      <c r="A650" t="s">
        <v>10</v>
      </c>
      <c r="B650" t="s">
        <v>15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22</v>
      </c>
      <c r="P650" s="13">
        <v>2014</v>
      </c>
      <c r="Q650" s="12">
        <f>(5-WEEKDAY(financials[[#This Row],[Date]],2)+financials[[#This Row],[Date]])</f>
        <v>41733</v>
      </c>
    </row>
    <row r="651" spans="1:17" x14ac:dyDescent="0.25">
      <c r="A651" t="s">
        <v>7</v>
      </c>
      <c r="B651" t="s">
        <v>15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25</v>
      </c>
      <c r="P651" s="13">
        <v>2014</v>
      </c>
      <c r="Q651" s="12">
        <f>(5-WEEKDAY(financials[[#This Row],[Date]],2)+financials[[#This Row],[Date]])</f>
        <v>41824</v>
      </c>
    </row>
    <row r="652" spans="1:17" x14ac:dyDescent="0.25">
      <c r="A652" t="s">
        <v>7</v>
      </c>
      <c r="B652" t="s">
        <v>14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28</v>
      </c>
      <c r="P652" s="13">
        <v>2013</v>
      </c>
      <c r="Q652" s="12">
        <f>(5-WEEKDAY(financials[[#This Row],[Date]],2)+financials[[#This Row],[Date]])</f>
        <v>41551</v>
      </c>
    </row>
    <row r="653" spans="1:17" x14ac:dyDescent="0.25">
      <c r="A653" t="s">
        <v>7</v>
      </c>
      <c r="B653" t="s">
        <v>17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29</v>
      </c>
      <c r="P653" s="13">
        <v>2013</v>
      </c>
      <c r="Q653" s="12">
        <f>(5-WEEKDAY(financials[[#This Row],[Date]],2)+financials[[#This Row],[Date]])</f>
        <v>41579</v>
      </c>
    </row>
    <row r="654" spans="1:17" x14ac:dyDescent="0.25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21</v>
      </c>
      <c r="P654" s="13">
        <v>2014</v>
      </c>
      <c r="Q654" s="12">
        <f>(5-WEEKDAY(financials[[#This Row],[Date]],2)+financials[[#This Row],[Date]])</f>
        <v>41698</v>
      </c>
    </row>
    <row r="655" spans="1:17" x14ac:dyDescent="0.25">
      <c r="A655" t="s">
        <v>7</v>
      </c>
      <c r="B655" t="s">
        <v>15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26</v>
      </c>
      <c r="P655" s="13">
        <v>2014</v>
      </c>
      <c r="Q655" s="12">
        <f>(5-WEEKDAY(financials[[#This Row],[Date]],2)+financials[[#This Row],[Date]])</f>
        <v>41852</v>
      </c>
    </row>
    <row r="656" spans="1:17" x14ac:dyDescent="0.25">
      <c r="A656" t="s">
        <v>7</v>
      </c>
      <c r="B656" t="s">
        <v>14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28</v>
      </c>
      <c r="P656" s="13">
        <v>2013</v>
      </c>
      <c r="Q656" s="12">
        <f>(5-WEEKDAY(financials[[#This Row],[Date]],2)+financials[[#This Row],[Date]])</f>
        <v>41551</v>
      </c>
    </row>
    <row r="657" spans="1:17" x14ac:dyDescent="0.25">
      <c r="A657" t="s">
        <v>7</v>
      </c>
      <c r="B657" t="s">
        <v>14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28</v>
      </c>
      <c r="P657" s="13">
        <v>2014</v>
      </c>
      <c r="Q657" s="12">
        <f>(5-WEEKDAY(financials[[#This Row],[Date]],2)+financials[[#This Row],[Date]])</f>
        <v>41915</v>
      </c>
    </row>
    <row r="658" spans="1:17" x14ac:dyDescent="0.25">
      <c r="A658" t="s">
        <v>7</v>
      </c>
      <c r="B658" t="s">
        <v>15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28</v>
      </c>
      <c r="P658" s="13">
        <v>2014</v>
      </c>
      <c r="Q658" s="12">
        <f>(5-WEEKDAY(financials[[#This Row],[Date]],2)+financials[[#This Row],[Date]])</f>
        <v>41915</v>
      </c>
    </row>
    <row r="659" spans="1:17" x14ac:dyDescent="0.25">
      <c r="A659" t="s">
        <v>10</v>
      </c>
      <c r="B659" t="s">
        <v>16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30</v>
      </c>
      <c r="P659" s="13">
        <v>2013</v>
      </c>
      <c r="Q659" s="12">
        <f>(5-WEEKDAY(financials[[#This Row],[Date]],2)+financials[[#This Row],[Date]])</f>
        <v>41607</v>
      </c>
    </row>
    <row r="660" spans="1:17" x14ac:dyDescent="0.25">
      <c r="A660" t="s">
        <v>7</v>
      </c>
      <c r="B660" t="s">
        <v>14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21</v>
      </c>
      <c r="P660" s="13">
        <v>2014</v>
      </c>
      <c r="Q660" s="12">
        <f>(5-WEEKDAY(financials[[#This Row],[Date]],2)+financials[[#This Row],[Date]])</f>
        <v>41698</v>
      </c>
    </row>
    <row r="661" spans="1:17" x14ac:dyDescent="0.25">
      <c r="A661" t="s">
        <v>9</v>
      </c>
      <c r="B661" t="s">
        <v>15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23</v>
      </c>
      <c r="P661" s="13">
        <v>2014</v>
      </c>
      <c r="Q661" s="12">
        <f>(5-WEEKDAY(financials[[#This Row],[Date]],2)+financials[[#This Row],[Date]])</f>
        <v>41761</v>
      </c>
    </row>
    <row r="662" spans="1:17" x14ac:dyDescent="0.25">
      <c r="A662" t="s">
        <v>11</v>
      </c>
      <c r="B662" t="s">
        <v>16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26</v>
      </c>
      <c r="P662" s="13">
        <v>2014</v>
      </c>
      <c r="Q662" s="12">
        <f>(5-WEEKDAY(financials[[#This Row],[Date]],2)+financials[[#This Row],[Date]])</f>
        <v>41852</v>
      </c>
    </row>
    <row r="663" spans="1:17" x14ac:dyDescent="0.25">
      <c r="A663" t="s">
        <v>8</v>
      </c>
      <c r="B663" t="s">
        <v>14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28</v>
      </c>
      <c r="P663" s="13">
        <v>2013</v>
      </c>
      <c r="Q663" s="12">
        <f>(5-WEEKDAY(financials[[#This Row],[Date]],2)+financials[[#This Row],[Date]])</f>
        <v>41551</v>
      </c>
    </row>
    <row r="664" spans="1:17" x14ac:dyDescent="0.25">
      <c r="A664" t="s">
        <v>11</v>
      </c>
      <c r="B664" t="s">
        <v>15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28</v>
      </c>
      <c r="P664" s="13">
        <v>2014</v>
      </c>
      <c r="Q664" s="12">
        <f>(5-WEEKDAY(financials[[#This Row],[Date]],2)+financials[[#This Row],[Date]])</f>
        <v>41915</v>
      </c>
    </row>
    <row r="665" spans="1:17" x14ac:dyDescent="0.25">
      <c r="A665" t="s">
        <v>10</v>
      </c>
      <c r="B665" t="s">
        <v>16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28</v>
      </c>
      <c r="P665" s="13">
        <v>2014</v>
      </c>
      <c r="Q665" s="12">
        <f>(5-WEEKDAY(financials[[#This Row],[Date]],2)+financials[[#This Row],[Date]])</f>
        <v>41915</v>
      </c>
    </row>
    <row r="666" spans="1:17" x14ac:dyDescent="0.25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28</v>
      </c>
      <c r="P666" s="13">
        <v>2013</v>
      </c>
      <c r="Q666" s="12">
        <f>(5-WEEKDAY(financials[[#This Row],[Date]],2)+financials[[#This Row],[Date]])</f>
        <v>41551</v>
      </c>
    </row>
    <row r="667" spans="1:17" x14ac:dyDescent="0.25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29</v>
      </c>
      <c r="P667" s="13">
        <v>2013</v>
      </c>
      <c r="Q667" s="12">
        <f>(5-WEEKDAY(financials[[#This Row],[Date]],2)+financials[[#This Row],[Date]])</f>
        <v>41579</v>
      </c>
    </row>
    <row r="668" spans="1:17" x14ac:dyDescent="0.25">
      <c r="A668" t="s">
        <v>9</v>
      </c>
      <c r="B668" t="s">
        <v>16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26</v>
      </c>
      <c r="P668" s="13">
        <v>2014</v>
      </c>
      <c r="Q668" s="12">
        <f>(5-WEEKDAY(financials[[#This Row],[Date]],2)+financials[[#This Row],[Date]])</f>
        <v>41852</v>
      </c>
    </row>
    <row r="669" spans="1:17" x14ac:dyDescent="0.25">
      <c r="A669" t="s">
        <v>9</v>
      </c>
      <c r="B669" t="s">
        <v>17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26</v>
      </c>
      <c r="P669" s="13">
        <v>2014</v>
      </c>
      <c r="Q669" s="12">
        <f>(5-WEEKDAY(financials[[#This Row],[Date]],2)+financials[[#This Row],[Date]])</f>
        <v>41852</v>
      </c>
    </row>
    <row r="670" spans="1:17" x14ac:dyDescent="0.25">
      <c r="A670" t="s">
        <v>9</v>
      </c>
      <c r="B670" t="s">
        <v>17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28</v>
      </c>
      <c r="P670" s="13">
        <v>2014</v>
      </c>
      <c r="Q670" s="12">
        <f>(5-WEEKDAY(financials[[#This Row],[Date]],2)+financials[[#This Row],[Date]])</f>
        <v>41915</v>
      </c>
    </row>
    <row r="671" spans="1:17" x14ac:dyDescent="0.25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28</v>
      </c>
      <c r="P671" s="13">
        <v>2014</v>
      </c>
      <c r="Q671" s="12">
        <f>(5-WEEKDAY(financials[[#This Row],[Date]],2)+financials[[#This Row],[Date]])</f>
        <v>41915</v>
      </c>
    </row>
    <row r="672" spans="1:17" x14ac:dyDescent="0.25">
      <c r="A672" t="s">
        <v>10</v>
      </c>
      <c r="B672" t="s">
        <v>17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21</v>
      </c>
      <c r="P672" s="13">
        <v>2014</v>
      </c>
      <c r="Q672" s="12">
        <f>(5-WEEKDAY(financials[[#This Row],[Date]],2)+financials[[#This Row],[Date]])</f>
        <v>41698</v>
      </c>
    </row>
    <row r="673" spans="1:17" x14ac:dyDescent="0.25">
      <c r="A673" t="s">
        <v>8</v>
      </c>
      <c r="B673" t="s">
        <v>14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22</v>
      </c>
      <c r="P673" s="13">
        <v>2014</v>
      </c>
      <c r="Q673" s="12">
        <f>(5-WEEKDAY(financials[[#This Row],[Date]],2)+financials[[#This Row],[Date]])</f>
        <v>41733</v>
      </c>
    </row>
    <row r="674" spans="1:17" x14ac:dyDescent="0.25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22</v>
      </c>
      <c r="P674" s="13">
        <v>2014</v>
      </c>
      <c r="Q674" s="12">
        <f>(5-WEEKDAY(financials[[#This Row],[Date]],2)+financials[[#This Row],[Date]])</f>
        <v>41733</v>
      </c>
    </row>
    <row r="675" spans="1:17" x14ac:dyDescent="0.25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23</v>
      </c>
      <c r="P675" s="13">
        <v>2014</v>
      </c>
      <c r="Q675" s="12">
        <f>(5-WEEKDAY(financials[[#This Row],[Date]],2)+financials[[#This Row],[Date]])</f>
        <v>41761</v>
      </c>
    </row>
    <row r="676" spans="1:17" x14ac:dyDescent="0.25">
      <c r="A676" t="s">
        <v>8</v>
      </c>
      <c r="B676" t="s">
        <v>14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26</v>
      </c>
      <c r="P676" s="13">
        <v>2014</v>
      </c>
      <c r="Q676" s="12">
        <f>(5-WEEKDAY(financials[[#This Row],[Date]],2)+financials[[#This Row],[Date]])</f>
        <v>41852</v>
      </c>
    </row>
    <row r="677" spans="1:17" x14ac:dyDescent="0.25">
      <c r="A677" t="s">
        <v>10</v>
      </c>
      <c r="B677" t="s">
        <v>15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28</v>
      </c>
      <c r="P677" s="13">
        <v>2013</v>
      </c>
      <c r="Q677" s="12">
        <f>(5-WEEKDAY(financials[[#This Row],[Date]],2)+financials[[#This Row],[Date]])</f>
        <v>41551</v>
      </c>
    </row>
    <row r="678" spans="1:17" x14ac:dyDescent="0.25">
      <c r="A678" t="s">
        <v>9</v>
      </c>
      <c r="B678" t="s">
        <v>17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28</v>
      </c>
      <c r="P678" s="13">
        <v>2014</v>
      </c>
      <c r="Q678" s="12">
        <f>(5-WEEKDAY(financials[[#This Row],[Date]],2)+financials[[#This Row],[Date]])</f>
        <v>41915</v>
      </c>
    </row>
    <row r="679" spans="1:17" x14ac:dyDescent="0.25">
      <c r="A679" t="s">
        <v>8</v>
      </c>
      <c r="B679" t="s">
        <v>17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28</v>
      </c>
      <c r="P679" s="13">
        <v>2014</v>
      </c>
      <c r="Q679" s="12">
        <f>(5-WEEKDAY(financials[[#This Row],[Date]],2)+financials[[#This Row],[Date]])</f>
        <v>41915</v>
      </c>
    </row>
    <row r="680" spans="1:17" x14ac:dyDescent="0.25">
      <c r="A680" t="s">
        <v>10</v>
      </c>
      <c r="B680" t="s">
        <v>15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29</v>
      </c>
      <c r="P680" s="13">
        <v>2013</v>
      </c>
      <c r="Q680" s="12">
        <f>(5-WEEKDAY(financials[[#This Row],[Date]],2)+financials[[#This Row],[Date]])</f>
        <v>41579</v>
      </c>
    </row>
    <row r="681" spans="1:17" x14ac:dyDescent="0.25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29</v>
      </c>
      <c r="P681" s="13">
        <v>2013</v>
      </c>
      <c r="Q681" s="12">
        <f>(5-WEEKDAY(financials[[#This Row],[Date]],2)+financials[[#This Row],[Date]])</f>
        <v>41579</v>
      </c>
    </row>
    <row r="682" spans="1:17" x14ac:dyDescent="0.25">
      <c r="A682" t="s">
        <v>11</v>
      </c>
      <c r="B682" t="s">
        <v>15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30</v>
      </c>
      <c r="P682" s="13">
        <v>2014</v>
      </c>
      <c r="Q682" s="12">
        <f>(5-WEEKDAY(financials[[#This Row],[Date]],2)+financials[[#This Row],[Date]])</f>
        <v>41978</v>
      </c>
    </row>
    <row r="683" spans="1:17" x14ac:dyDescent="0.25">
      <c r="A683" t="s">
        <v>10</v>
      </c>
      <c r="B683" t="s">
        <v>16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30</v>
      </c>
      <c r="P683" s="13">
        <v>2014</v>
      </c>
      <c r="Q683" s="12">
        <f>(5-WEEKDAY(financials[[#This Row],[Date]],2)+financials[[#This Row],[Date]])</f>
        <v>41978</v>
      </c>
    </row>
    <row r="684" spans="1:17" x14ac:dyDescent="0.25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21</v>
      </c>
      <c r="P684" s="13">
        <v>2014</v>
      </c>
      <c r="Q684" s="12">
        <f>(5-WEEKDAY(financials[[#This Row],[Date]],2)+financials[[#This Row],[Date]])</f>
        <v>41698</v>
      </c>
    </row>
    <row r="685" spans="1:17" x14ac:dyDescent="0.25">
      <c r="A685" t="s">
        <v>8</v>
      </c>
      <c r="B685" t="s">
        <v>16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23</v>
      </c>
      <c r="P685" s="13">
        <v>2014</v>
      </c>
      <c r="Q685" s="12">
        <f>(5-WEEKDAY(financials[[#This Row],[Date]],2)+financials[[#This Row],[Date]])</f>
        <v>41761</v>
      </c>
    </row>
    <row r="686" spans="1:17" x14ac:dyDescent="0.25">
      <c r="A686" t="s">
        <v>9</v>
      </c>
      <c r="B686" t="s">
        <v>16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27</v>
      </c>
      <c r="P686" s="13">
        <v>2014</v>
      </c>
      <c r="Q686" s="12">
        <f>(5-WEEKDAY(financials[[#This Row],[Date]],2)+financials[[#This Row],[Date]])</f>
        <v>41887</v>
      </c>
    </row>
    <row r="687" spans="1:17" x14ac:dyDescent="0.25">
      <c r="A687" t="s">
        <v>7</v>
      </c>
      <c r="B687" t="s">
        <v>15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29</v>
      </c>
      <c r="P687" s="13">
        <v>2013</v>
      </c>
      <c r="Q687" s="12">
        <f>(5-WEEKDAY(financials[[#This Row],[Date]],2)+financials[[#This Row],[Date]])</f>
        <v>41579</v>
      </c>
    </row>
    <row r="688" spans="1:17" x14ac:dyDescent="0.25">
      <c r="A688" t="s">
        <v>9</v>
      </c>
      <c r="B688" t="s">
        <v>15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30</v>
      </c>
      <c r="P688" s="13">
        <v>2013</v>
      </c>
      <c r="Q688" s="12">
        <f>(5-WEEKDAY(financials[[#This Row],[Date]],2)+financials[[#This Row],[Date]])</f>
        <v>41607</v>
      </c>
    </row>
    <row r="689" spans="1:17" x14ac:dyDescent="0.25">
      <c r="A689" t="s">
        <v>11</v>
      </c>
      <c r="B689" t="s">
        <v>15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30</v>
      </c>
      <c r="P689" s="13">
        <v>2014</v>
      </c>
      <c r="Q689" s="12">
        <f>(5-WEEKDAY(financials[[#This Row],[Date]],2)+financials[[#This Row],[Date]])</f>
        <v>41978</v>
      </c>
    </row>
    <row r="690" spans="1:17" x14ac:dyDescent="0.25">
      <c r="A690" t="s">
        <v>10</v>
      </c>
      <c r="B690" t="s">
        <v>14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25</v>
      </c>
      <c r="P690" s="13">
        <v>2014</v>
      </c>
      <c r="Q690" s="12">
        <f>(5-WEEKDAY(financials[[#This Row],[Date]],2)+financials[[#This Row],[Date]])</f>
        <v>41824</v>
      </c>
    </row>
    <row r="691" spans="1:17" x14ac:dyDescent="0.25">
      <c r="A691" t="s">
        <v>8</v>
      </c>
      <c r="B691" t="s">
        <v>17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25</v>
      </c>
      <c r="P691" s="13">
        <v>2014</v>
      </c>
      <c r="Q691" s="12">
        <f>(5-WEEKDAY(financials[[#This Row],[Date]],2)+financials[[#This Row],[Date]])</f>
        <v>41824</v>
      </c>
    </row>
    <row r="692" spans="1:17" x14ac:dyDescent="0.25">
      <c r="A692" t="s">
        <v>10</v>
      </c>
      <c r="B692" t="s">
        <v>15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28</v>
      </c>
      <c r="P692" s="13">
        <v>2013</v>
      </c>
      <c r="Q692" s="12">
        <f>(5-WEEKDAY(financials[[#This Row],[Date]],2)+financials[[#This Row],[Date]])</f>
        <v>41551</v>
      </c>
    </row>
    <row r="693" spans="1:17" x14ac:dyDescent="0.25">
      <c r="A693" t="s">
        <v>8</v>
      </c>
      <c r="B693" t="s">
        <v>17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28</v>
      </c>
      <c r="P693" s="13">
        <v>2014</v>
      </c>
      <c r="Q693" s="12">
        <f>(5-WEEKDAY(financials[[#This Row],[Date]],2)+financials[[#This Row],[Date]])</f>
        <v>41915</v>
      </c>
    </row>
    <row r="694" spans="1:17" x14ac:dyDescent="0.25">
      <c r="A694" t="s">
        <v>9</v>
      </c>
      <c r="B694" t="s">
        <v>14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29</v>
      </c>
      <c r="P694" s="13">
        <v>2013</v>
      </c>
      <c r="Q694" s="12">
        <f>(5-WEEKDAY(financials[[#This Row],[Date]],2)+financials[[#This Row],[Date]])</f>
        <v>41579</v>
      </c>
    </row>
    <row r="695" spans="1:17" x14ac:dyDescent="0.25">
      <c r="A695" t="s">
        <v>9</v>
      </c>
      <c r="B695" t="s">
        <v>17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29</v>
      </c>
      <c r="P695" s="13">
        <v>2014</v>
      </c>
      <c r="Q695" s="12">
        <f>(5-WEEKDAY(financials[[#This Row],[Date]],2)+financials[[#This Row],[Date]])</f>
        <v>41943</v>
      </c>
    </row>
    <row r="696" spans="1:17" x14ac:dyDescent="0.25">
      <c r="A696" t="s">
        <v>10</v>
      </c>
      <c r="B696" t="s">
        <v>16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30</v>
      </c>
      <c r="P696" s="13">
        <v>2014</v>
      </c>
      <c r="Q696" s="12">
        <f>(5-WEEKDAY(financials[[#This Row],[Date]],2)+financials[[#This Row],[Date]])</f>
        <v>41978</v>
      </c>
    </row>
    <row r="697" spans="1:17" x14ac:dyDescent="0.25">
      <c r="A697" t="s">
        <v>7</v>
      </c>
      <c r="B697" t="s">
        <v>16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21</v>
      </c>
      <c r="P697" s="13">
        <v>2014</v>
      </c>
      <c r="Q697" s="12">
        <f>(5-WEEKDAY(financials[[#This Row],[Date]],2)+financials[[#This Row],[Date]])</f>
        <v>41698</v>
      </c>
    </row>
    <row r="698" spans="1:17" x14ac:dyDescent="0.25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28</v>
      </c>
      <c r="P698" s="13">
        <v>2014</v>
      </c>
      <c r="Q698" s="12">
        <f>(5-WEEKDAY(financials[[#This Row],[Date]],2)+financials[[#This Row],[Date]])</f>
        <v>41915</v>
      </c>
    </row>
    <row r="699" spans="1:17" x14ac:dyDescent="0.25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20</v>
      </c>
      <c r="P699" s="13">
        <v>2014</v>
      </c>
      <c r="Q699" s="12">
        <f>(5-WEEKDAY(financials[[#This Row],[Date]],2)+financials[[#This Row],[Date]])</f>
        <v>41670</v>
      </c>
    </row>
    <row r="700" spans="1:17" x14ac:dyDescent="0.25">
      <c r="A700" t="s">
        <v>10</v>
      </c>
      <c r="B700" t="s">
        <v>14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22</v>
      </c>
      <c r="P700" s="13">
        <v>2014</v>
      </c>
      <c r="Q700" s="12">
        <f>(5-WEEKDAY(financials[[#This Row],[Date]],2)+financials[[#This Row],[Date]])</f>
        <v>41733</v>
      </c>
    </row>
    <row r="701" spans="1:17" x14ac:dyDescent="0.25">
      <c r="A701" t="s">
        <v>11</v>
      </c>
      <c r="B701" t="s">
        <v>15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23</v>
      </c>
      <c r="P701" s="13">
        <v>2014</v>
      </c>
      <c r="Q701" s="12">
        <f>(5-WEEKDAY(financials[[#This Row],[Date]],2)+financials[[#This Row],[Date]])</f>
        <v>41761</v>
      </c>
    </row>
    <row r="702" spans="1:17" x14ac:dyDescent="0.25">
      <c r="A702" t="s">
        <v>50</v>
      </c>
      <c r="C702" s="1"/>
      <c r="D702" s="1"/>
      <c r="J702"/>
      <c r="K702" s="1"/>
      <c r="L702" s="1"/>
      <c r="M702" s="14"/>
      <c r="P702" s="15"/>
      <c r="Q702" s="16">
        <f>SUBTOTAL(103,financials[Weekending])</f>
        <v>700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A122E9E-FA01-4059-81DC-944F5F0282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Anshul Sharma</cp:lastModifiedBy>
  <dcterms:created xsi:type="dcterms:W3CDTF">2014-01-28T02:45:41Z</dcterms:created>
  <dcterms:modified xsi:type="dcterms:W3CDTF">2026-04-17T05:33:21Z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